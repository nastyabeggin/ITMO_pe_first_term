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tyabeggin/Documents/ITMO_pe_first_term/computer_science/labs/lab5/"/>
    </mc:Choice>
  </mc:AlternateContent>
  <xr:revisionPtr revIDLastSave="0" documentId="13_ncr:1_{D731C5D1-775F-C74C-8774-159FA3807294}" xr6:coauthVersionLast="47" xr6:coauthVersionMax="47" xr10:uidLastSave="{00000000-0000-0000-0000-000000000000}"/>
  <bookViews>
    <workbookView xWindow="0" yWindow="0" windowWidth="28800" windowHeight="18000" activeTab="2" xr2:uid="{5C1936B1-B3ED-FC45-AE2A-A48305B56279}"/>
  </bookViews>
  <sheets>
    <sheet name="main" sheetId="1" r:id="rId1"/>
    <sheet name="diagram" sheetId="2" r:id="rId2"/>
    <sheet name="main_copy" sheetId="5" r:id="rId3"/>
    <sheet name="Sheet1" sheetId="6" r:id="rId4"/>
  </sheets>
  <definedNames>
    <definedName name="_xlchart.v1.0" hidden="1">main!$C$4:$C$15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5" l="1"/>
  <c r="X22" i="1"/>
  <c r="I22" i="1"/>
  <c r="X20" i="1"/>
  <c r="Y4" i="1"/>
  <c r="Y57" i="1" s="1"/>
  <c r="Y60" i="1" s="1"/>
  <c r="X30" i="1"/>
  <c r="B2" i="6"/>
  <c r="V66" i="5"/>
  <c r="U66" i="5"/>
  <c r="P66" i="5"/>
  <c r="K66" i="5"/>
  <c r="U65" i="5"/>
  <c r="P65" i="5"/>
  <c r="K65" i="5"/>
  <c r="U58" i="5"/>
  <c r="P58" i="5"/>
  <c r="K58" i="5"/>
  <c r="U57" i="5"/>
  <c r="R57" i="5"/>
  <c r="P57" i="5"/>
  <c r="K57" i="5"/>
  <c r="U50" i="5"/>
  <c r="P50" i="5"/>
  <c r="K50" i="5"/>
  <c r="U49" i="5"/>
  <c r="P49" i="5"/>
  <c r="K49" i="5"/>
  <c r="U42" i="5"/>
  <c r="P42" i="5"/>
  <c r="K42" i="5"/>
  <c r="U41" i="5"/>
  <c r="P41" i="5"/>
  <c r="K41" i="5"/>
  <c r="U34" i="5"/>
  <c r="P34" i="5"/>
  <c r="K34" i="5"/>
  <c r="U33" i="5"/>
  <c r="P33" i="5"/>
  <c r="K33" i="5"/>
  <c r="V26" i="5"/>
  <c r="U26" i="5"/>
  <c r="P26" i="5"/>
  <c r="K26" i="5"/>
  <c r="AE25" i="5"/>
  <c r="Y25" i="5"/>
  <c r="U25" i="5"/>
  <c r="P25" i="5"/>
  <c r="K25" i="5"/>
  <c r="U18" i="5"/>
  <c r="P18" i="5"/>
  <c r="K18" i="5"/>
  <c r="U17" i="5"/>
  <c r="R17" i="5"/>
  <c r="P17" i="5"/>
  <c r="K17" i="5"/>
  <c r="Y13" i="5"/>
  <c r="X13" i="5"/>
  <c r="V13" i="5"/>
  <c r="T13" i="5"/>
  <c r="O13" i="5"/>
  <c r="N13" i="5"/>
  <c r="M13" i="5"/>
  <c r="L13" i="5"/>
  <c r="J13" i="5"/>
  <c r="C13" i="5"/>
  <c r="W12" i="5"/>
  <c r="W50" i="5" s="1"/>
  <c r="V12" i="5"/>
  <c r="V50" i="5" s="1"/>
  <c r="Q12" i="5"/>
  <c r="Q50" i="5" s="1"/>
  <c r="O12" i="5"/>
  <c r="O50" i="5" s="1"/>
  <c r="C12" i="5"/>
  <c r="Y12" i="5" s="1"/>
  <c r="Y50" i="5" s="1"/>
  <c r="C11" i="5"/>
  <c r="R11" i="5" s="1"/>
  <c r="C9" i="5"/>
  <c r="N9" i="5" s="1"/>
  <c r="O8" i="5"/>
  <c r="M8" i="5"/>
  <c r="C8" i="5"/>
  <c r="X7" i="5"/>
  <c r="W7" i="5"/>
  <c r="V7" i="5"/>
  <c r="T7" i="5"/>
  <c r="S7" i="5"/>
  <c r="R7" i="5"/>
  <c r="Q7" i="5"/>
  <c r="N7" i="5"/>
  <c r="M7" i="5"/>
  <c r="L7" i="5"/>
  <c r="J7" i="5"/>
  <c r="I7" i="5"/>
  <c r="H7" i="5"/>
  <c r="G7" i="5"/>
  <c r="C7" i="5"/>
  <c r="Y7" i="5" s="1"/>
  <c r="Y6" i="5"/>
  <c r="X6" i="5"/>
  <c r="W6" i="5"/>
  <c r="W66" i="5" s="1"/>
  <c r="V6" i="5"/>
  <c r="S6" i="5"/>
  <c r="O6" i="5"/>
  <c r="O66" i="5" s="1"/>
  <c r="N6" i="5"/>
  <c r="N26" i="5" s="1"/>
  <c r="M6" i="5"/>
  <c r="M26" i="5" s="1"/>
  <c r="L6" i="5"/>
  <c r="L26" i="5" s="1"/>
  <c r="J6" i="5"/>
  <c r="H6" i="5"/>
  <c r="C6" i="5"/>
  <c r="AD5" i="5"/>
  <c r="AB5" i="5"/>
  <c r="Y5" i="5"/>
  <c r="Y18" i="5" s="1"/>
  <c r="X5" i="5"/>
  <c r="X18" i="5" s="1"/>
  <c r="O5" i="5"/>
  <c r="N5" i="5"/>
  <c r="N18" i="5" s="1"/>
  <c r="M5" i="5"/>
  <c r="C5" i="5"/>
  <c r="W5" i="5" s="1"/>
  <c r="Y4" i="5"/>
  <c r="Y17" i="5" s="1"/>
  <c r="Y20" i="5" s="1"/>
  <c r="X4" i="5"/>
  <c r="X57" i="5" s="1"/>
  <c r="W4" i="5"/>
  <c r="T4" i="5"/>
  <c r="R4" i="5"/>
  <c r="O4" i="5"/>
  <c r="N4" i="5"/>
  <c r="M4" i="5"/>
  <c r="J4" i="5"/>
  <c r="J17" i="5" s="1"/>
  <c r="I4" i="5"/>
  <c r="I17" i="5" s="1"/>
  <c r="G4" i="5"/>
  <c r="C4" i="5"/>
  <c r="L70" i="1"/>
  <c r="L54" i="1"/>
  <c r="L46" i="1"/>
  <c r="L38" i="1"/>
  <c r="L30" i="1"/>
  <c r="O70" i="1"/>
  <c r="O54" i="1"/>
  <c r="O46" i="1"/>
  <c r="O38" i="1"/>
  <c r="O30" i="1"/>
  <c r="AE66" i="1"/>
  <c r="AE65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AE68" i="1"/>
  <c r="Y68" i="1"/>
  <c r="AE58" i="1"/>
  <c r="AE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E60" i="1"/>
  <c r="AE50" i="1"/>
  <c r="AE49" i="1"/>
  <c r="Y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AE52" i="1"/>
  <c r="Y52" i="1"/>
  <c r="AE42" i="1"/>
  <c r="AE41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AE44" i="1"/>
  <c r="Y44" i="1"/>
  <c r="R36" i="1"/>
  <c r="Q36" i="1" s="1"/>
  <c r="S36" i="1"/>
  <c r="T36" i="1"/>
  <c r="R28" i="1"/>
  <c r="Q28" i="1" s="1"/>
  <c r="S28" i="1"/>
  <c r="T28" i="1"/>
  <c r="AE34" i="1"/>
  <c r="AE33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Y36" i="1"/>
  <c r="AB5" i="1"/>
  <c r="AE26" i="1"/>
  <c r="AE25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Y28" i="1" s="1"/>
  <c r="AE28" i="1"/>
  <c r="AD5" i="1"/>
  <c r="K18" i="1"/>
  <c r="P18" i="1"/>
  <c r="U18" i="1"/>
  <c r="K17" i="1"/>
  <c r="P17" i="1"/>
  <c r="U17" i="1"/>
  <c r="C8" i="1"/>
  <c r="H8" i="1" s="1"/>
  <c r="C7" i="1"/>
  <c r="S7" i="1" s="1"/>
  <c r="C6" i="1"/>
  <c r="J6" i="1" s="1"/>
  <c r="C5" i="1"/>
  <c r="G5" i="1" s="1"/>
  <c r="G18" i="1" s="1"/>
  <c r="C4" i="1"/>
  <c r="Q4" i="1" s="1"/>
  <c r="Q17" i="1" s="1"/>
  <c r="R58" i="5" l="1"/>
  <c r="R42" i="5"/>
  <c r="R49" i="5"/>
  <c r="W33" i="5"/>
  <c r="W25" i="5"/>
  <c r="W18" i="5"/>
  <c r="M33" i="5"/>
  <c r="M25" i="5"/>
  <c r="R9" i="5"/>
  <c r="Y28" i="5"/>
  <c r="M57" i="5"/>
  <c r="M17" i="5"/>
  <c r="S9" i="5"/>
  <c r="G11" i="5"/>
  <c r="Y66" i="5"/>
  <c r="Y26" i="5"/>
  <c r="X8" i="5"/>
  <c r="N8" i="5"/>
  <c r="C14" i="5"/>
  <c r="W8" i="5"/>
  <c r="H9" i="5"/>
  <c r="Y11" i="5"/>
  <c r="X33" i="5"/>
  <c r="T57" i="5"/>
  <c r="T17" i="5"/>
  <c r="L5" i="5"/>
  <c r="J66" i="5"/>
  <c r="J26" i="5"/>
  <c r="L8" i="5"/>
  <c r="Y8" i="5"/>
  <c r="Q9" i="5"/>
  <c r="N12" i="5"/>
  <c r="N50" i="5" s="1"/>
  <c r="X25" i="5"/>
  <c r="O26" i="5"/>
  <c r="X66" i="5"/>
  <c r="X26" i="5"/>
  <c r="AE58" i="5"/>
  <c r="AE42" i="5"/>
  <c r="T11" i="5"/>
  <c r="J11" i="5"/>
  <c r="S11" i="5"/>
  <c r="I11" i="5"/>
  <c r="V11" i="5"/>
  <c r="L11" i="5"/>
  <c r="G9" i="5"/>
  <c r="X11" i="5"/>
  <c r="O33" i="5"/>
  <c r="O25" i="5"/>
  <c r="O57" i="5"/>
  <c r="O17" i="5"/>
  <c r="AE18" i="5"/>
  <c r="T5" i="5"/>
  <c r="J5" i="5"/>
  <c r="Q5" i="5"/>
  <c r="Y33" i="5"/>
  <c r="I57" i="5"/>
  <c r="L66" i="5"/>
  <c r="V4" i="5"/>
  <c r="L4" i="5"/>
  <c r="Q4" i="5"/>
  <c r="G5" i="5"/>
  <c r="R5" i="5"/>
  <c r="AE66" i="5"/>
  <c r="AE26" i="5"/>
  <c r="AE28" i="5" s="1"/>
  <c r="Q6" i="5"/>
  <c r="G6" i="5"/>
  <c r="R6" i="5"/>
  <c r="H8" i="5"/>
  <c r="S8" i="5"/>
  <c r="J9" i="5"/>
  <c r="Y9" i="5"/>
  <c r="N11" i="5"/>
  <c r="G12" i="5"/>
  <c r="G50" i="5" s="1"/>
  <c r="X12" i="5"/>
  <c r="X50" i="5" s="1"/>
  <c r="X17" i="5"/>
  <c r="X20" i="5" s="1"/>
  <c r="O18" i="5"/>
  <c r="W26" i="5"/>
  <c r="AE33" i="5"/>
  <c r="J57" i="5"/>
  <c r="Y57" i="5"/>
  <c r="M66" i="5"/>
  <c r="M18" i="5"/>
  <c r="AE49" i="5"/>
  <c r="G57" i="5"/>
  <c r="G17" i="5"/>
  <c r="H66" i="5"/>
  <c r="H26" i="5"/>
  <c r="I8" i="5"/>
  <c r="T8" i="5"/>
  <c r="C10" i="5"/>
  <c r="O11" i="5"/>
  <c r="L12" i="5"/>
  <c r="L50" i="5" s="1"/>
  <c r="AE57" i="5"/>
  <c r="N66" i="5"/>
  <c r="W57" i="5"/>
  <c r="W17" i="5"/>
  <c r="W20" i="5" s="1"/>
  <c r="W9" i="5"/>
  <c r="M9" i="5"/>
  <c r="L9" i="5"/>
  <c r="V9" i="5"/>
  <c r="W11" i="5"/>
  <c r="N33" i="5"/>
  <c r="N25" i="5"/>
  <c r="N57" i="5"/>
  <c r="N17" i="5"/>
  <c r="Q8" i="5"/>
  <c r="T9" i="5"/>
  <c r="H11" i="5"/>
  <c r="G8" i="5"/>
  <c r="R8" i="5"/>
  <c r="I9" i="5"/>
  <c r="X9" i="5"/>
  <c r="M11" i="5"/>
  <c r="AE50" i="5"/>
  <c r="AE52" i="5" s="1"/>
  <c r="S12" i="5"/>
  <c r="S50" i="5" s="1"/>
  <c r="I12" i="5"/>
  <c r="I50" i="5" s="1"/>
  <c r="R12" i="5"/>
  <c r="R50" i="5" s="1"/>
  <c r="H12" i="5"/>
  <c r="H50" i="5" s="1"/>
  <c r="T12" i="5"/>
  <c r="T50" i="5" s="1"/>
  <c r="J12" i="5"/>
  <c r="J50" i="5" s="1"/>
  <c r="H5" i="5"/>
  <c r="S5" i="5"/>
  <c r="S66" i="5"/>
  <c r="S26" i="5"/>
  <c r="H4" i="5"/>
  <c r="S4" i="5"/>
  <c r="I5" i="5"/>
  <c r="V5" i="5"/>
  <c r="I6" i="5"/>
  <c r="T6" i="5"/>
  <c r="J8" i="5"/>
  <c r="V8" i="5"/>
  <c r="O9" i="5"/>
  <c r="Q11" i="5"/>
  <c r="M12" i="5"/>
  <c r="M50" i="5" s="1"/>
  <c r="R13" i="5"/>
  <c r="H13" i="5"/>
  <c r="Q13" i="5"/>
  <c r="G13" i="5"/>
  <c r="S13" i="5"/>
  <c r="I13" i="5"/>
  <c r="W13" i="5"/>
  <c r="AE17" i="5"/>
  <c r="O7" i="5"/>
  <c r="X68" i="1"/>
  <c r="W68" i="1" s="1"/>
  <c r="V68" i="1" s="1"/>
  <c r="X60" i="1"/>
  <c r="W60" i="1" s="1"/>
  <c r="V60" i="1" s="1"/>
  <c r="O62" i="1" s="1"/>
  <c r="X52" i="1"/>
  <c r="W52" i="1" s="1"/>
  <c r="V52" i="1" s="1"/>
  <c r="X44" i="1"/>
  <c r="W44" i="1" s="1"/>
  <c r="V44" i="1" s="1"/>
  <c r="AE36" i="1"/>
  <c r="X36" i="1"/>
  <c r="W36" i="1" s="1"/>
  <c r="V36" i="1" s="1"/>
  <c r="X28" i="1"/>
  <c r="W28" i="1" s="1"/>
  <c r="V28" i="1" s="1"/>
  <c r="AE17" i="1"/>
  <c r="AE18" i="1"/>
  <c r="AE20" i="1" s="1"/>
  <c r="G4" i="1"/>
  <c r="G17" i="1" s="1"/>
  <c r="G8" i="1"/>
  <c r="G7" i="1"/>
  <c r="G6" i="1"/>
  <c r="J5" i="1"/>
  <c r="J18" i="1" s="1"/>
  <c r="C13" i="1"/>
  <c r="Y7" i="1"/>
  <c r="S5" i="1"/>
  <c r="S18" i="1" s="1"/>
  <c r="N8" i="1"/>
  <c r="I8" i="1"/>
  <c r="O4" i="1"/>
  <c r="O17" i="1" s="1"/>
  <c r="Y6" i="1"/>
  <c r="R7" i="1"/>
  <c r="N7" i="1"/>
  <c r="I7" i="1"/>
  <c r="I6" i="1"/>
  <c r="M4" i="1"/>
  <c r="M17" i="1" s="1"/>
  <c r="X7" i="1"/>
  <c r="R6" i="1"/>
  <c r="N6" i="1"/>
  <c r="I5" i="1"/>
  <c r="I18" i="1" s="1"/>
  <c r="H7" i="1"/>
  <c r="L4" i="1"/>
  <c r="L17" i="1" s="1"/>
  <c r="W7" i="1"/>
  <c r="R5" i="1"/>
  <c r="R18" i="1" s="1"/>
  <c r="N5" i="1"/>
  <c r="N18" i="1" s="1"/>
  <c r="C9" i="1"/>
  <c r="O9" i="1" s="1"/>
  <c r="Y5" i="1"/>
  <c r="Y18" i="1" s="1"/>
  <c r="V7" i="1"/>
  <c r="Q7" i="1"/>
  <c r="M5" i="1"/>
  <c r="M18" i="1" s="1"/>
  <c r="C10" i="1"/>
  <c r="X5" i="1"/>
  <c r="X18" i="1" s="1"/>
  <c r="T7" i="1"/>
  <c r="Q5" i="1"/>
  <c r="Q18" i="1" s="1"/>
  <c r="L7" i="1"/>
  <c r="H5" i="1"/>
  <c r="H18" i="1" s="1"/>
  <c r="C12" i="1"/>
  <c r="V5" i="1"/>
  <c r="V18" i="1" s="1"/>
  <c r="T5" i="1"/>
  <c r="T18" i="1" s="1"/>
  <c r="O5" i="1"/>
  <c r="O18" i="1" s="1"/>
  <c r="C11" i="1"/>
  <c r="W5" i="1"/>
  <c r="W18" i="1" s="1"/>
  <c r="T6" i="1"/>
  <c r="O7" i="1"/>
  <c r="L5" i="1"/>
  <c r="L18" i="1" s="1"/>
  <c r="Y17" i="1"/>
  <c r="Q6" i="1"/>
  <c r="S4" i="1"/>
  <c r="S17" i="1" s="1"/>
  <c r="W6" i="1"/>
  <c r="S6" i="1"/>
  <c r="M7" i="1"/>
  <c r="J7" i="1"/>
  <c r="H4" i="1"/>
  <c r="H17" i="1" s="1"/>
  <c r="W4" i="1"/>
  <c r="W17" i="1" s="1"/>
  <c r="Q8" i="1"/>
  <c r="J4" i="1"/>
  <c r="J17" i="1" s="1"/>
  <c r="X4" i="1"/>
  <c r="X17" i="1" s="1"/>
  <c r="N4" i="1"/>
  <c r="N17" i="1" s="1"/>
  <c r="Y8" i="1"/>
  <c r="W8" i="1"/>
  <c r="T8" i="1"/>
  <c r="M6" i="1"/>
  <c r="I4" i="1"/>
  <c r="I17" i="1" s="1"/>
  <c r="H6" i="1"/>
  <c r="R8" i="1"/>
  <c r="L8" i="1"/>
  <c r="J8" i="1"/>
  <c r="T4" i="1"/>
  <c r="T17" i="1" s="1"/>
  <c r="X8" i="1"/>
  <c r="V8" i="1"/>
  <c r="S8" i="1"/>
  <c r="L6" i="1"/>
  <c r="V4" i="1"/>
  <c r="V17" i="1" s="1"/>
  <c r="O8" i="1"/>
  <c r="C14" i="1"/>
  <c r="R4" i="1"/>
  <c r="R17" i="1" s="1"/>
  <c r="X6" i="1"/>
  <c r="V6" i="1"/>
  <c r="O6" i="1"/>
  <c r="M8" i="1"/>
  <c r="T26" i="5" l="1"/>
  <c r="T66" i="5"/>
  <c r="S18" i="5"/>
  <c r="S25" i="5"/>
  <c r="S33" i="5"/>
  <c r="O49" i="5"/>
  <c r="O58" i="5"/>
  <c r="O42" i="5"/>
  <c r="R66" i="5"/>
  <c r="R26" i="5"/>
  <c r="L57" i="5"/>
  <c r="L17" i="5"/>
  <c r="AE20" i="5"/>
  <c r="V49" i="5"/>
  <c r="V42" i="5"/>
  <c r="V58" i="5"/>
  <c r="Q14" i="5"/>
  <c r="Q65" i="5" s="1"/>
  <c r="G14" i="5"/>
  <c r="G65" i="5" s="1"/>
  <c r="Y14" i="5"/>
  <c r="Y65" i="5" s="1"/>
  <c r="Y68" i="5" s="1"/>
  <c r="O14" i="5"/>
  <c r="O65" i="5" s="1"/>
  <c r="R14" i="5"/>
  <c r="R65" i="5" s="1"/>
  <c r="H14" i="5"/>
  <c r="H65" i="5" s="1"/>
  <c r="S14" i="5"/>
  <c r="S65" i="5" s="1"/>
  <c r="L14" i="5"/>
  <c r="L65" i="5" s="1"/>
  <c r="J14" i="5"/>
  <c r="J65" i="5" s="1"/>
  <c r="N14" i="5"/>
  <c r="N65" i="5" s="1"/>
  <c r="M14" i="5"/>
  <c r="M65" i="5" s="1"/>
  <c r="W14" i="5"/>
  <c r="W65" i="5" s="1"/>
  <c r="AE65" i="5"/>
  <c r="T14" i="5"/>
  <c r="T65" i="5" s="1"/>
  <c r="X14" i="5"/>
  <c r="X65" i="5" s="1"/>
  <c r="I14" i="5"/>
  <c r="I65" i="5" s="1"/>
  <c r="V14" i="5"/>
  <c r="V65" i="5" s="1"/>
  <c r="W28" i="5"/>
  <c r="V57" i="5"/>
  <c r="V17" i="5"/>
  <c r="I18" i="5"/>
  <c r="I33" i="5"/>
  <c r="I25" i="5"/>
  <c r="N49" i="5"/>
  <c r="N42" i="5"/>
  <c r="N58" i="5"/>
  <c r="J58" i="5"/>
  <c r="J42" i="5"/>
  <c r="J49" i="5"/>
  <c r="I66" i="5"/>
  <c r="I26" i="5"/>
  <c r="AE34" i="5"/>
  <c r="AE36" i="5" s="1"/>
  <c r="V10" i="5"/>
  <c r="L10" i="5"/>
  <c r="J10" i="5"/>
  <c r="T10" i="5"/>
  <c r="W10" i="5"/>
  <c r="M10" i="5"/>
  <c r="X10" i="5"/>
  <c r="G10" i="5"/>
  <c r="Q10" i="5"/>
  <c r="S10" i="5"/>
  <c r="R10" i="5"/>
  <c r="N10" i="5"/>
  <c r="AE41" i="5"/>
  <c r="AE44" i="5" s="1"/>
  <c r="Y10" i="5"/>
  <c r="H10" i="5"/>
  <c r="O10" i="5"/>
  <c r="I10" i="5"/>
  <c r="T49" i="5"/>
  <c r="T58" i="5"/>
  <c r="T42" i="5"/>
  <c r="I58" i="5"/>
  <c r="I42" i="5"/>
  <c r="I49" i="5"/>
  <c r="Y15" i="5"/>
  <c r="O15" i="5"/>
  <c r="N15" i="5"/>
  <c r="X15" i="5"/>
  <c r="W15" i="5"/>
  <c r="M15" i="5"/>
  <c r="Q15" i="5"/>
  <c r="G15" i="5"/>
  <c r="L15" i="5"/>
  <c r="J15" i="5"/>
  <c r="I15" i="5"/>
  <c r="H15" i="5"/>
  <c r="V15" i="5"/>
  <c r="S15" i="5"/>
  <c r="R15" i="5"/>
  <c r="T15" i="5"/>
  <c r="S58" i="5"/>
  <c r="S42" i="5"/>
  <c r="S49" i="5"/>
  <c r="S17" i="5"/>
  <c r="S57" i="5"/>
  <c r="H17" i="5"/>
  <c r="H57" i="5"/>
  <c r="W49" i="5"/>
  <c r="W58" i="5"/>
  <c r="W60" i="5" s="1"/>
  <c r="W42" i="5"/>
  <c r="R18" i="5"/>
  <c r="R25" i="5"/>
  <c r="R33" i="5"/>
  <c r="Q18" i="5"/>
  <c r="Q33" i="5"/>
  <c r="Q25" i="5"/>
  <c r="X58" i="5"/>
  <c r="X60" i="5" s="1"/>
  <c r="X42" i="5"/>
  <c r="X49" i="5"/>
  <c r="Y58" i="5"/>
  <c r="Y42" i="5"/>
  <c r="Y49" i="5"/>
  <c r="Y52" i="5" s="1"/>
  <c r="G49" i="5"/>
  <c r="G58" i="5"/>
  <c r="G42" i="5"/>
  <c r="H18" i="5"/>
  <c r="H25" i="5"/>
  <c r="H33" i="5"/>
  <c r="L33" i="5"/>
  <c r="L25" i="5"/>
  <c r="L18" i="5"/>
  <c r="Q66" i="5"/>
  <c r="Q26" i="5"/>
  <c r="X28" i="5"/>
  <c r="Y60" i="5"/>
  <c r="Q58" i="5"/>
  <c r="Q42" i="5"/>
  <c r="Q49" i="5"/>
  <c r="AE68" i="5"/>
  <c r="H58" i="5"/>
  <c r="H42" i="5"/>
  <c r="H49" i="5"/>
  <c r="G33" i="5"/>
  <c r="G25" i="5"/>
  <c r="G18" i="5"/>
  <c r="J18" i="5"/>
  <c r="J33" i="5"/>
  <c r="J25" i="5"/>
  <c r="AE60" i="5"/>
  <c r="M49" i="5"/>
  <c r="M42" i="5"/>
  <c r="M58" i="5"/>
  <c r="G26" i="5"/>
  <c r="G66" i="5"/>
  <c r="V33" i="5"/>
  <c r="V25" i="5"/>
  <c r="V18" i="5"/>
  <c r="Q17" i="5"/>
  <c r="Q57" i="5"/>
  <c r="T33" i="5"/>
  <c r="T25" i="5"/>
  <c r="T18" i="5"/>
  <c r="L49" i="5"/>
  <c r="L58" i="5"/>
  <c r="L42" i="5"/>
  <c r="T68" i="1"/>
  <c r="S68" i="1" s="1"/>
  <c r="R68" i="1" s="1"/>
  <c r="Q68" i="1" s="1"/>
  <c r="O68" i="1" s="1"/>
  <c r="N68" i="1" s="1"/>
  <c r="M68" i="1" s="1"/>
  <c r="L68" i="1" s="1"/>
  <c r="J68" i="1" s="1"/>
  <c r="I68" i="1" s="1"/>
  <c r="H68" i="1" s="1"/>
  <c r="G68" i="1" s="1"/>
  <c r="T60" i="1"/>
  <c r="S60" i="1" s="1"/>
  <c r="R60" i="1" s="1"/>
  <c r="Q60" i="1" s="1"/>
  <c r="T52" i="1"/>
  <c r="S52" i="1" s="1"/>
  <c r="R52" i="1" s="1"/>
  <c r="Q52" i="1" s="1"/>
  <c r="O52" i="1" s="1"/>
  <c r="N52" i="1" s="1"/>
  <c r="M52" i="1" s="1"/>
  <c r="L52" i="1" s="1"/>
  <c r="J52" i="1" s="1"/>
  <c r="I52" i="1" s="1"/>
  <c r="H52" i="1" s="1"/>
  <c r="G52" i="1" s="1"/>
  <c r="T44" i="1"/>
  <c r="S44" i="1" s="1"/>
  <c r="R44" i="1" s="1"/>
  <c r="Q44" i="1" s="1"/>
  <c r="O44" i="1" s="1"/>
  <c r="N44" i="1" s="1"/>
  <c r="M44" i="1" s="1"/>
  <c r="L44" i="1" s="1"/>
  <c r="J44" i="1" s="1"/>
  <c r="I44" i="1" s="1"/>
  <c r="H44" i="1" s="1"/>
  <c r="G44" i="1" s="1"/>
  <c r="N9" i="1"/>
  <c r="Y20" i="1"/>
  <c r="H10" i="1"/>
  <c r="R10" i="1"/>
  <c r="S10" i="1"/>
  <c r="X10" i="1"/>
  <c r="G10" i="1"/>
  <c r="I10" i="1"/>
  <c r="L10" i="1"/>
  <c r="W10" i="1"/>
  <c r="N10" i="1"/>
  <c r="J10" i="1"/>
  <c r="T10" i="1"/>
  <c r="V10" i="1"/>
  <c r="M10" i="1"/>
  <c r="O10" i="1"/>
  <c r="Y10" i="1"/>
  <c r="Q10" i="1"/>
  <c r="J13" i="1"/>
  <c r="T13" i="1"/>
  <c r="V13" i="1"/>
  <c r="N13" i="1"/>
  <c r="G13" i="1"/>
  <c r="Q13" i="1"/>
  <c r="I13" i="1"/>
  <c r="Y13" i="1"/>
  <c r="L13" i="1"/>
  <c r="M13" i="1"/>
  <c r="W13" i="1"/>
  <c r="S13" i="1"/>
  <c r="O13" i="1"/>
  <c r="X13" i="1"/>
  <c r="H13" i="1"/>
  <c r="R13" i="1"/>
  <c r="Q9" i="1"/>
  <c r="G9" i="1"/>
  <c r="N14" i="1"/>
  <c r="X14" i="1"/>
  <c r="H14" i="1"/>
  <c r="J14" i="1"/>
  <c r="T14" i="1"/>
  <c r="M14" i="1"/>
  <c r="I14" i="1"/>
  <c r="O14" i="1"/>
  <c r="Y14" i="1"/>
  <c r="G14" i="1"/>
  <c r="Q14" i="1"/>
  <c r="W14" i="1"/>
  <c r="S14" i="1"/>
  <c r="L14" i="1"/>
  <c r="V14" i="1"/>
  <c r="R14" i="1"/>
  <c r="G12" i="1"/>
  <c r="Q12" i="1"/>
  <c r="J12" i="1"/>
  <c r="T12" i="1"/>
  <c r="M12" i="1"/>
  <c r="W12" i="1"/>
  <c r="V12" i="1"/>
  <c r="H12" i="1"/>
  <c r="R12" i="1"/>
  <c r="I12" i="1"/>
  <c r="S12" i="1"/>
  <c r="O12" i="1"/>
  <c r="Y12" i="1"/>
  <c r="L12" i="1"/>
  <c r="N12" i="1"/>
  <c r="X12" i="1"/>
  <c r="M11" i="1"/>
  <c r="W11" i="1"/>
  <c r="G11" i="1"/>
  <c r="I11" i="1"/>
  <c r="S11" i="1"/>
  <c r="V11" i="1"/>
  <c r="R11" i="1"/>
  <c r="N11" i="1"/>
  <c r="X11" i="1"/>
  <c r="O11" i="1"/>
  <c r="Y11" i="1"/>
  <c r="L11" i="1"/>
  <c r="H11" i="1"/>
  <c r="Q11" i="1"/>
  <c r="J11" i="1"/>
  <c r="T11" i="1"/>
  <c r="C15" i="1"/>
  <c r="I9" i="1"/>
  <c r="R9" i="1"/>
  <c r="L9" i="1"/>
  <c r="J9" i="1"/>
  <c r="M9" i="1"/>
  <c r="S9" i="1"/>
  <c r="V9" i="1"/>
  <c r="Y9" i="1"/>
  <c r="W9" i="1"/>
  <c r="T9" i="1"/>
  <c r="H9" i="1"/>
  <c r="X9" i="1"/>
  <c r="O60" i="1" l="1"/>
  <c r="N60" i="1" s="1"/>
  <c r="M60" i="1" s="1"/>
  <c r="L60" i="1" s="1"/>
  <c r="J60" i="1" s="1"/>
  <c r="I60" i="1" s="1"/>
  <c r="H60" i="1" s="1"/>
  <c r="G60" i="1" s="1"/>
  <c r="I62" i="1" s="1"/>
  <c r="L62" i="1"/>
  <c r="H34" i="5"/>
  <c r="H41" i="5"/>
  <c r="S60" i="5"/>
  <c r="R60" i="5"/>
  <c r="Q60" i="5" s="1"/>
  <c r="O41" i="5"/>
  <c r="O34" i="5"/>
  <c r="G41" i="5"/>
  <c r="G34" i="5"/>
  <c r="V60" i="5"/>
  <c r="T60" i="5" s="1"/>
  <c r="S28" i="5"/>
  <c r="R28" i="5" s="1"/>
  <c r="Q28" i="5" s="1"/>
  <c r="M41" i="5"/>
  <c r="M34" i="5"/>
  <c r="N41" i="5"/>
  <c r="N34" i="5"/>
  <c r="V28" i="5"/>
  <c r="O30" i="5" s="1"/>
  <c r="R34" i="5"/>
  <c r="R41" i="5"/>
  <c r="J34" i="5"/>
  <c r="J41" i="5"/>
  <c r="X68" i="5"/>
  <c r="W68" i="5" s="1"/>
  <c r="V68" i="5" s="1"/>
  <c r="X34" i="5"/>
  <c r="X36" i="5" s="1"/>
  <c r="X41" i="5"/>
  <c r="Y34" i="5"/>
  <c r="Y36" i="5" s="1"/>
  <c r="Y41" i="5"/>
  <c r="Y44" i="5" s="1"/>
  <c r="W41" i="5"/>
  <c r="W34" i="5"/>
  <c r="W36" i="5" s="1"/>
  <c r="T41" i="5"/>
  <c r="T34" i="5"/>
  <c r="S34" i="5"/>
  <c r="S41" i="5"/>
  <c r="L41" i="5"/>
  <c r="L34" i="5"/>
  <c r="T28" i="5"/>
  <c r="X52" i="5"/>
  <c r="W52" i="5" s="1"/>
  <c r="V52" i="5" s="1"/>
  <c r="I34" i="5"/>
  <c r="I41" i="5"/>
  <c r="Q34" i="5"/>
  <c r="Q41" i="5"/>
  <c r="V41" i="5"/>
  <c r="V34" i="5"/>
  <c r="V36" i="5" s="1"/>
  <c r="V20" i="5"/>
  <c r="O22" i="5" s="1"/>
  <c r="U70" i="1"/>
  <c r="I70" i="1"/>
  <c r="AA68" i="1"/>
  <c r="U54" i="1"/>
  <c r="AA52" i="1"/>
  <c r="I54" i="1"/>
  <c r="U46" i="1"/>
  <c r="AA44" i="1"/>
  <c r="I46" i="1"/>
  <c r="O36" i="1"/>
  <c r="N36" i="1" s="1"/>
  <c r="M36" i="1" s="1"/>
  <c r="L36" i="1" s="1"/>
  <c r="J36" i="1" s="1"/>
  <c r="I36" i="1" s="1"/>
  <c r="H36" i="1" s="1"/>
  <c r="G36" i="1" s="1"/>
  <c r="AA36" i="1" s="1"/>
  <c r="O28" i="1"/>
  <c r="N28" i="1" s="1"/>
  <c r="M28" i="1" s="1"/>
  <c r="L28" i="1" s="1"/>
  <c r="J28" i="1" s="1"/>
  <c r="I28" i="1" s="1"/>
  <c r="H28" i="1" s="1"/>
  <c r="G28" i="1" s="1"/>
  <c r="U30" i="1" s="1"/>
  <c r="W20" i="1"/>
  <c r="V20" i="1" s="1"/>
  <c r="H15" i="1"/>
  <c r="R15" i="1"/>
  <c r="L15" i="1"/>
  <c r="V15" i="1"/>
  <c r="N15" i="1"/>
  <c r="X15" i="1"/>
  <c r="Q15" i="1"/>
  <c r="M15" i="1"/>
  <c r="I15" i="1"/>
  <c r="S15" i="1"/>
  <c r="J15" i="1"/>
  <c r="T15" i="1"/>
  <c r="G15" i="1"/>
  <c r="W15" i="1"/>
  <c r="O15" i="1"/>
  <c r="Y15" i="1"/>
  <c r="O22" i="1" l="1"/>
  <c r="T20" i="1"/>
  <c r="S20" i="1" s="1"/>
  <c r="R20" i="1" s="1"/>
  <c r="Q20" i="1" s="1"/>
  <c r="L22" i="1" s="1"/>
  <c r="AA60" i="1"/>
  <c r="X62" i="1" s="1"/>
  <c r="U62" i="1"/>
  <c r="O70" i="5"/>
  <c r="T68" i="5"/>
  <c r="S68" i="5" s="1"/>
  <c r="R68" i="5" s="1"/>
  <c r="Q68" i="5" s="1"/>
  <c r="L62" i="5"/>
  <c r="O60" i="5"/>
  <c r="N60" i="5" s="1"/>
  <c r="M60" i="5" s="1"/>
  <c r="L60" i="5" s="1"/>
  <c r="J60" i="5" s="1"/>
  <c r="I60" i="5" s="1"/>
  <c r="H60" i="5" s="1"/>
  <c r="G60" i="5" s="1"/>
  <c r="R36" i="5"/>
  <c r="Q36" i="5"/>
  <c r="L38" i="5" s="1"/>
  <c r="S36" i="5"/>
  <c r="T36" i="5"/>
  <c r="L30" i="5"/>
  <c r="O28" i="5"/>
  <c r="N28" i="5" s="1"/>
  <c r="M28" i="5" s="1"/>
  <c r="L28" i="5" s="1"/>
  <c r="J28" i="5" s="1"/>
  <c r="I28" i="5" s="1"/>
  <c r="H28" i="5" s="1"/>
  <c r="G28" i="5" s="1"/>
  <c r="O54" i="5"/>
  <c r="T52" i="5"/>
  <c r="S52" i="5" s="1"/>
  <c r="R52" i="5" s="1"/>
  <c r="Q52" i="5" s="1"/>
  <c r="T20" i="5"/>
  <c r="S20" i="5" s="1"/>
  <c r="R20" i="5" s="1"/>
  <c r="Q20" i="5" s="1"/>
  <c r="O38" i="5"/>
  <c r="O62" i="5"/>
  <c r="X44" i="5"/>
  <c r="W44" i="5" s="1"/>
  <c r="V44" i="5" s="1"/>
  <c r="X70" i="1"/>
  <c r="R70" i="1"/>
  <c r="X54" i="1"/>
  <c r="R54" i="1"/>
  <c r="X46" i="1"/>
  <c r="R46" i="1"/>
  <c r="U38" i="1"/>
  <c r="I38" i="1"/>
  <c r="I30" i="1"/>
  <c r="AA28" i="1"/>
  <c r="X38" i="1"/>
  <c r="R38" i="1"/>
  <c r="R62" i="1" l="1"/>
  <c r="O20" i="1"/>
  <c r="N20" i="1" s="1"/>
  <c r="M20" i="1" s="1"/>
  <c r="L20" i="1" s="1"/>
  <c r="J20" i="1" s="1"/>
  <c r="I20" i="1" s="1"/>
  <c r="H20" i="1" s="1"/>
  <c r="G20" i="1" s="1"/>
  <c r="AA20" i="1" s="1"/>
  <c r="T44" i="5"/>
  <c r="S44" i="5" s="1"/>
  <c r="R44" i="5" s="1"/>
  <c r="Q44" i="5" s="1"/>
  <c r="O46" i="5"/>
  <c r="L22" i="5"/>
  <c r="O20" i="5"/>
  <c r="N20" i="5" s="1"/>
  <c r="M20" i="5" s="1"/>
  <c r="L20" i="5" s="1"/>
  <c r="J20" i="5" s="1"/>
  <c r="I20" i="5" s="1"/>
  <c r="H20" i="5" s="1"/>
  <c r="G20" i="5" s="1"/>
  <c r="L54" i="5"/>
  <c r="O52" i="5"/>
  <c r="N52" i="5" s="1"/>
  <c r="M52" i="5" s="1"/>
  <c r="L52" i="5" s="1"/>
  <c r="J52" i="5" s="1"/>
  <c r="I52" i="5" s="1"/>
  <c r="H52" i="5" s="1"/>
  <c r="G52" i="5" s="1"/>
  <c r="L70" i="5"/>
  <c r="O68" i="5"/>
  <c r="N68" i="5" s="1"/>
  <c r="M68" i="5" s="1"/>
  <c r="L68" i="5" s="1"/>
  <c r="J68" i="5" s="1"/>
  <c r="I68" i="5" s="1"/>
  <c r="H68" i="5" s="1"/>
  <c r="G68" i="5" s="1"/>
  <c r="U62" i="5"/>
  <c r="AA60" i="5"/>
  <c r="I62" i="5"/>
  <c r="U30" i="5"/>
  <c r="AA28" i="5"/>
  <c r="I30" i="5"/>
  <c r="O36" i="5"/>
  <c r="N36" i="5" s="1"/>
  <c r="M36" i="5" s="1"/>
  <c r="L36" i="5" s="1"/>
  <c r="J36" i="5" s="1"/>
  <c r="I36" i="5" s="1"/>
  <c r="H36" i="5" s="1"/>
  <c r="G36" i="5" s="1"/>
  <c r="R30" i="1"/>
  <c r="U22" i="1" l="1"/>
  <c r="U70" i="5"/>
  <c r="AA68" i="5"/>
  <c r="I70" i="5"/>
  <c r="U54" i="5"/>
  <c r="AA52" i="5"/>
  <c r="I54" i="5"/>
  <c r="U38" i="5"/>
  <c r="AA36" i="5"/>
  <c r="I38" i="5"/>
  <c r="X30" i="5"/>
  <c r="R30" i="5"/>
  <c r="X62" i="5"/>
  <c r="R62" i="5"/>
  <c r="U22" i="5"/>
  <c r="AA20" i="5"/>
  <c r="I22" i="5"/>
  <c r="L46" i="5"/>
  <c r="O44" i="5"/>
  <c r="N44" i="5" s="1"/>
  <c r="M44" i="5" s="1"/>
  <c r="L44" i="5" s="1"/>
  <c r="J44" i="5" s="1"/>
  <c r="I44" i="5" s="1"/>
  <c r="H44" i="5" s="1"/>
  <c r="G44" i="5" s="1"/>
  <c r="R22" i="1"/>
  <c r="X38" i="5" l="1"/>
  <c r="R38" i="5"/>
  <c r="X54" i="5"/>
  <c r="R54" i="5"/>
  <c r="X22" i="5"/>
  <c r="R22" i="5"/>
  <c r="X70" i="5"/>
  <c r="R70" i="5"/>
  <c r="U46" i="5"/>
  <c r="AA44" i="5"/>
  <c r="I46" i="5"/>
  <c r="X46" i="5" l="1"/>
  <c r="R46" i="5"/>
</calcChain>
</file>

<file path=xl/sharedStrings.xml><?xml version="1.0" encoding="utf-8"?>
<sst xmlns="http://schemas.openxmlformats.org/spreadsheetml/2006/main" count="746" uniqueCount="87">
  <si>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</si>
  <si>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</si>
  <si>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</si>
  <si>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</si>
  <si>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</si>
  <si>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</si>
  <si>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</si>
  <si>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</si>
  <si>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</si>
  <si>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</si>
  <si>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</si>
  <si>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</si>
  <si>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</si>
  <si>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</si>
  <si>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</si>
  <si>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</si>
  <si>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</si>
  <si>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</si>
  <si>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X10=</t>
  </si>
  <si>
    <t>X11=</t>
  </si>
  <si>
    <t>X12=</t>
  </si>
  <si>
    <t>-X4=</t>
  </si>
  <si>
    <t>-X5=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</si>
  <si>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</si>
  <si>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</si>
  <si>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</si>
  <si>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</si>
  <si>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</si>
  <si>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</si>
  <si>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</si>
  <si>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</si>
  <si>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</si>
  <si>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</si>
  <si>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</si>
  <si>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</si>
  <si>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-B1=</t>
  </si>
  <si>
    <t>-B2=</t>
  </si>
  <si>
    <t>-B3=</t>
  </si>
  <si>
    <t>-B4=</t>
  </si>
  <si>
    <t>-B5=</t>
  </si>
  <si>
    <t>-B6=</t>
  </si>
  <si>
    <t>.</t>
  </si>
  <si>
    <t>+</t>
  </si>
  <si>
    <t>-------</t>
  </si>
  <si>
    <t>--</t>
  </si>
  <si>
    <r>
      <t>B1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</si>
  <si>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B2</t>
    </r>
    <r>
      <rPr>
        <vertAlign val="subscript"/>
        <sz val="12"/>
        <color theme="1"/>
        <rFont val="Calibri"/>
        <family val="2"/>
      </rPr>
      <t>(2)</t>
    </r>
  </si>
  <si>
    <t>X1</t>
  </si>
  <si>
    <t>=</t>
  </si>
  <si>
    <t>---------------</t>
  </si>
  <si>
    <r>
      <rPr>
        <vertAlign val="subscript"/>
        <sz val="12"/>
        <color theme="1"/>
        <rFont val="Calibri (Body)"/>
      </rPr>
      <t>(2)</t>
    </r>
    <r>
      <rPr>
        <sz val="12"/>
        <color theme="1"/>
        <rFont val="Calibri"/>
        <family val="2"/>
        <scheme val="minor"/>
      </rPr>
      <t>=</t>
    </r>
  </si>
  <si>
    <t>(10)</t>
  </si>
  <si>
    <t>+ X2</t>
  </si>
  <si>
    <t>--------</t>
  </si>
  <si>
    <t>CF=</t>
  </si>
  <si>
    <t>PF=</t>
  </si>
  <si>
    <t>AF=</t>
  </si>
  <si>
    <t>ZF=</t>
  </si>
  <si>
    <t>SF=</t>
  </si>
  <si>
    <t>OF=</t>
  </si>
  <si>
    <t>Область допустимых значений</t>
  </si>
  <si>
    <t>X=(</t>
  </si>
  <si>
    <t>;</t>
  </si>
  <si>
    <t>)</t>
  </si>
  <si>
    <r>
      <t>B2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</si>
  <si>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B3</t>
    </r>
    <r>
      <rPr>
        <vertAlign val="subscript"/>
        <sz val="12"/>
        <color theme="1"/>
        <rFont val="Calibri"/>
        <family val="2"/>
      </rPr>
      <t>(2)</t>
    </r>
  </si>
  <si>
    <t>X2</t>
  </si>
  <si>
    <t>+ X3</t>
  </si>
  <si>
    <r>
      <t>B7</t>
    </r>
    <r>
      <rPr>
        <vertAlign val="subscript"/>
        <sz val="12"/>
        <color theme="1"/>
        <rFont val="Calibri"/>
        <family val="2"/>
      </rPr>
      <t>(2)</t>
    </r>
  </si>
  <si>
    <t>+ X7</t>
  </si>
  <si>
    <r>
      <t>B7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</si>
  <si>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B8</t>
    </r>
    <r>
      <rPr>
        <vertAlign val="subscript"/>
        <sz val="12"/>
        <color theme="1"/>
        <rFont val="Calibri"/>
        <family val="2"/>
      </rPr>
      <t>(2)</t>
    </r>
  </si>
  <si>
    <t>X7</t>
  </si>
  <si>
    <t>+ X8</t>
  </si>
  <si>
    <r>
      <t>B8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</si>
  <si>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B9</t>
    </r>
    <r>
      <rPr>
        <vertAlign val="subscript"/>
        <sz val="12"/>
        <color theme="1"/>
        <rFont val="Calibri"/>
        <family val="2"/>
      </rPr>
      <t>(2)</t>
    </r>
  </si>
  <si>
    <t>X8</t>
  </si>
  <si>
    <t>+ X9</t>
  </si>
  <si>
    <r>
      <t>B11</t>
    </r>
    <r>
      <rPr>
        <vertAlign val="subscript"/>
        <sz val="12"/>
        <color theme="1"/>
        <rFont val="Calibri"/>
        <family val="2"/>
        <scheme val="minor"/>
      </rPr>
      <t>(2)</t>
    </r>
  </si>
  <si>
    <t>X11</t>
  </si>
  <si>
    <t>При сложении двух положительных слагаемых получено верное число. Результат операции верный и корректный, совпадает с десятичным эквивалентом</t>
  </si>
  <si>
    <t>При сложении двух положительных слагаемых получено неверное число. Результат операции неверен, так как, как видно в десятичном эквиваленте, число выходит за ОДЗ</t>
  </si>
  <si>
    <t>При сложении положительного и отрицательного слагаемого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</si>
  <si>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</si>
  <si>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неверное число. Результат операции неверен, так как, как видно в десятичном эквиваленте, число выходит за ОДЗ</t>
  </si>
  <si>
    <t>X=</t>
  </si>
  <si>
    <t xml:space="preserve">X^20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</si>
</sst>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vertAlign val="subscript"/>
      <sz val="12"/>
      <color theme="1"/>
      <name val="Calibri (Body)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0" fontId="2" fillId="0" borderId="0" xfId="0" applyFont="1"/>
    <xf numFmtId="0" fontId="1" fillId="0" borderId="0" xfId="0" quotePrefix="1" applyFo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0" fontId="0" fillId="2" borderId="0" xfId="0" applyFill="1"/>
    <xf numFmtId="0" fontId="5" fillId="0" borderId="0" xfId="0" applyFont="1"/>
  </cellXfs>
  <cellStyles count="1">
    <cellStyle name="Normal" xfId="0" builtinId="0"/>
  </cellStyles>
  <dxfs count="11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ill>
        <patternFill patternType="solid">
          <fgColor rgb="FFFFFD78"/>
          <bgColor rgb="FFFFFD78"/>
        </patternFill>
      </fill>
    </dxf>
  </dxfs>
  <tableStyles count="0" defaultTableStyle="TableStyleMedium2" defaultPivotStyle="PivotStyleLight16"/>
  <colors>
    <mruColors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values</a:t>
            </a:r>
          </a:p>
        </c:rich>
      </c:tx>
      <c:layout>
        <c:manualLayout>
          <c:xMode val="edge"/>
          <c:yMode val="edge"/>
          <c:x val="0.44740571972511456"/>
          <c:y val="1.147921944923247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A41-6442-A13C-C2F36F741BB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A3E-1845-90EE-52856782D3E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A3E-1845-90EE-52856782D3E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A3E-1845-90EE-52856782D3E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A3E-1845-90EE-52856782D3E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A3E-1845-90EE-52856782D3E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A3E-1845-90EE-52856782D3E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A3E-1845-90EE-52856782D3E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A3E-1845-90EE-52856782D3E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A41-6442-A13C-C2F36F741B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A3E-1845-90EE-52856782D3EF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A3E-1845-90EE-52856782D3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main!$C$4:$C$15</c:f>
              <c:numCache>
                <c:formatCode>General</c:formatCode>
                <c:ptCount val="12"/>
                <c:pt idx="0">
                  <c:v>4982</c:v>
                </c:pt>
                <c:pt idx="1">
                  <c:v>15116</c:v>
                </c:pt>
                <c:pt idx="2">
                  <c:v>20098</c:v>
                </c:pt>
                <c:pt idx="3">
                  <c:v>35214</c:v>
                </c:pt>
                <c:pt idx="4">
                  <c:v>10134</c:v>
                </c:pt>
                <c:pt idx="5">
                  <c:v>30322</c:v>
                </c:pt>
                <c:pt idx="6">
                  <c:v>-4982</c:v>
                </c:pt>
                <c:pt idx="7">
                  <c:v>-15116</c:v>
                </c:pt>
                <c:pt idx="8">
                  <c:v>-20098</c:v>
                </c:pt>
                <c:pt idx="9">
                  <c:v>-35214</c:v>
                </c:pt>
                <c:pt idx="10">
                  <c:v>-10134</c:v>
                </c:pt>
                <c:pt idx="11">
                  <c:v>-30322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1-6442-A13C-C2F36F741B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0936080"/>
        <c:axId val="1700560608"/>
      </c:barChart>
      <c:catAx>
        <c:axId val="520936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U"/>
          </a:p>
        </c:txPr>
        <c:crossAx val="1700560608"/>
        <c:auto val="1"/>
        <c:lblAlgn val="ctr"/>
        <c:lblOffset val="100"/>
        <c:noMultiLvlLbl val="0"/>
      </c:catAx>
      <c:valAx>
        <c:axId val="17005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U"/>
          </a:p>
        </c:txPr>
        <c:crossAx val="520936080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107950</xdr:colOff>
      <xdr:row>1</xdr:row>
      <xdr:rowOff>31750</xdr:rowOff>
    </xdr:from>
    <xdr:to>
      <xdr:col>8</xdr:col>
      <xdr:colOff>208079</xdr:colOff>
      <xdr:row>17</xdr:row>
      <xdr:rowOff>136328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277CB3-CD4D-F140-A8E5-224669388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1D6F-24CA-9246-A5A3-68223D36F0ED}">
  <sheetPr codeName="Sheet1"/>
  <dimension ref="A1:AJ70"/>
  <sheetViews>
    <sheetView zoomScale="110" zoomScaleNormal="85" zoomScalePageLayoutView="74" workbookViewId="0">
      <selection activeCell="C6" sqref="C6"/>
    </sheetView>
  </sheetViews>
  <sheetFormatPr baseColWidth="10" defaultRowHeight="16" x14ac:dyDescent="0.2"/>
  <cols>
    <col min="1" max="1" width="5.1640625" bestFit="1" customWidth="1"/>
    <col min="4" max="4" width="11.83203125" bestFit="1" customWidth="1"/>
    <col min="5" max="5" width="5.33203125" bestFit="1" customWidth="1"/>
    <col min="6" max="6" width="5" bestFit="1" customWidth="1"/>
    <col min="7" max="10" width="2.1640625" bestFit="1" customWidth="1"/>
    <col min="11" max="11" width="1.5" customWidth="1"/>
    <col min="12" max="15" width="2.1640625" bestFit="1" customWidth="1"/>
    <col min="16" max="16" width="1.6640625" bestFit="1" customWidth="1"/>
    <col min="17" max="25" width="2.1640625" bestFit="1" customWidth="1"/>
    <col min="26" max="26" width="3.5" bestFit="1" customWidth="1"/>
    <col min="27" max="28" width="6.83203125" bestFit="1" customWidth="1"/>
    <col min="29" max="29" width="2.1640625" bestFit="1" customWidth="1"/>
    <col min="30" max="30" width="6.5" bestFit="1" customWidth="1"/>
    <col min="32" max="32" width="3.1640625" bestFit="1" customWidth="1"/>
  </cols>
  <sheetData>
    <row r="1" spans="1:31" x14ac:dyDescent="0.2">
      <c r="B1" s="1" t="s">
        <v>0</v>
      </c>
      <c r="C1">
        <v>4982</v>
      </c>
    </row>
    <row r="2" spans="1:31" x14ac:dyDescent="0.2">
      <c r="B2" s="1" t="s">
        <v>10</v>
      </c>
      <c r="C2">
        <v>15116</v>
      </c>
    </row>
    <row r="4" spans="1:31" x14ac:dyDescent="0.2">
      <c r="A4" t="s">
        <v>1</v>
      </c>
      <c r="B4" s="1" t="s">
        <v>0</v>
      </c>
      <c r="C4">
        <f>C1</f>
        <v>4982</v>
      </c>
      <c r="E4" t="s">
        <v>23</v>
      </c>
      <c r="G4" s="10">
        <f>IF(LEN(_xlfn.BASE($C4,2))&lt;16,0,LEFT(RIGHT(_xlfn.BASE($C4,2),16)))</f>
        <v>0</v>
      </c>
      <c r="H4" s="10">
        <f>IF(LEN(_xlfn.BASE($C4,2))&lt;15,0,LEFT(RIGHT(_xlfn.BASE($C4,2),15)))</f>
        <v>0</v>
      </c>
      <c r="I4" s="10">
        <f>IF(LEN(_xlfn.BASE($C4,2))&lt;14,0,LEFT(RIGHT(_xlfn.BASE($C4,2),14)))</f>
        <v>0</v>
      </c>
      <c r="J4" s="10" t="str">
        <f>IF(LEN(_xlfn.BASE($C4,2))&lt;13,0,LEFT(RIGHT(_xlfn.BASE($C4,2),13)))</f>
        <v>1</v>
      </c>
      <c r="K4" s="10" t="s">
        <v>41</v>
      </c>
      <c r="L4" s="10" t="str">
        <f>LEFT(RIGHT(_xlfn.BASE($C4,2),12))</f>
        <v>0</v>
      </c>
      <c r="M4" s="10" t="str">
        <f>LEFT(RIGHT(_xlfn.BASE($C4,2),11))</f>
        <v>0</v>
      </c>
      <c r="N4" s="10" t="str">
        <f>LEFT(RIGHT(_xlfn.BASE($C4,2),10))</f>
        <v>1</v>
      </c>
      <c r="O4" s="10" t="str">
        <f>LEFT(RIGHT(_xlfn.BASE($C4,2),9))</f>
        <v>1</v>
      </c>
      <c r="P4" s="10" t="s">
        <v>41</v>
      </c>
      <c r="Q4" s="10" t="str">
        <f>LEFT(RIGHT(_xlfn.BASE($C4,2),8))</f>
        <v>0</v>
      </c>
      <c r="R4" s="10" t="str">
        <f>LEFT(RIGHT(_xlfn.BASE($C4,2),7))</f>
        <v>1</v>
      </c>
      <c r="S4" s="10" t="str">
        <f>LEFT(RIGHT(_xlfn.BASE($C4,2),6))</f>
        <v>1</v>
      </c>
      <c r="T4" s="10" t="str">
        <f>LEFT(RIGHT(_xlfn.BASE($C4,2),5))</f>
        <v>1</v>
      </c>
      <c r="U4" s="10" t="s">
        <v>41</v>
      </c>
      <c r="V4" s="10" t="str">
        <f>LEFT(RIGHT(_xlfn.BASE($C4,2),4))</f>
        <v>0</v>
      </c>
      <c r="W4" s="10" t="str">
        <f>LEFT(RIGHT(_xlfn.BASE($C4,2),3))</f>
        <v>1</v>
      </c>
      <c r="X4" s="10" t="str">
        <f>LEFT(RIGHT(_xlfn.BASE($C4,2),2))</f>
        <v>1</v>
      </c>
      <c r="Y4" s="10" t="str">
        <f>RIGHT(_xlfn.BASE($C4,2),1)</f>
        <v>0</v>
      </c>
      <c r="Z4" s="5"/>
      <c r="AA4" s="9" t="s">
        <v>60</v>
      </c>
      <c r="AB4" s="9"/>
      <c r="AC4" s="9"/>
      <c r="AD4" s="9"/>
    </row>
    <row r="5" spans="1:31" x14ac:dyDescent="0.2">
      <c r="A5" t="s">
        <v>2</v>
      </c>
      <c r="B5" s="1" t="s">
        <v>10</v>
      </c>
      <c r="C5">
        <f>C2</f>
        <v>15116</v>
      </c>
      <c r="E5" t="s">
        <v>24</v>
      </c>
      <c r="G5" s="10">
        <f t="shared" ref="G5:G9" si="0">IF(LEN(_xlfn.BASE($C5,2))&lt;16,0,LEFT(RIGHT(_xlfn.BASE($C5,2),16)))</f>
        <v>0</v>
      </c>
      <c r="H5" s="10">
        <f t="shared" ref="H5:H9" si="1">IF(LEN(_xlfn.BASE($C5,2))&lt;15,0,LEFT(RIGHT(_xlfn.BASE($C5,2),15)))</f>
        <v>0</v>
      </c>
      <c r="I5" s="10" t="str">
        <f t="shared" ref="I5:I9" si="2">IF(LEN(_xlfn.BASE($C5,2))&lt;14,0,LEFT(RIGHT(_xlfn.BASE($C5,2),14)))</f>
        <v>1</v>
      </c>
      <c r="J5" s="10" t="str">
        <f t="shared" ref="J5:J9" si="3">IF(LEN(_xlfn.BASE($C5,2))&lt;13,0,LEFT(RIGHT(_xlfn.BASE($C5,2),13)))</f>
        <v>1</v>
      </c>
      <c r="K5" s="10" t="s">
        <v>41</v>
      </c>
      <c r="L5" s="10" t="str">
        <f t="shared" ref="L5:L9" si="4">LEFT(RIGHT(_xlfn.BASE($C5,2),12))</f>
        <v>1</v>
      </c>
      <c r="M5" s="10" t="str">
        <f t="shared" ref="M5:M9" si="5">LEFT(RIGHT(_xlfn.BASE($C5,2),11))</f>
        <v>0</v>
      </c>
      <c r="N5" s="10" t="str">
        <f t="shared" ref="N5:N9" si="6">LEFT(RIGHT(_xlfn.BASE($C5,2),10))</f>
        <v>1</v>
      </c>
      <c r="O5" s="10" t="str">
        <f t="shared" ref="O5:O9" si="7">LEFT(RIGHT(_xlfn.BASE($C5,2),9))</f>
        <v>1</v>
      </c>
      <c r="P5" s="10" t="s">
        <v>41</v>
      </c>
      <c r="Q5" s="10" t="str">
        <f t="shared" ref="Q5:Q9" si="8">LEFT(RIGHT(_xlfn.BASE($C5,2),8))</f>
        <v>0</v>
      </c>
      <c r="R5" s="10" t="str">
        <f t="shared" ref="R5:R9" si="9">LEFT(RIGHT(_xlfn.BASE($C5,2),7))</f>
        <v>0</v>
      </c>
      <c r="S5" s="10" t="str">
        <f t="shared" ref="S5:S9" si="10">LEFT(RIGHT(_xlfn.BASE($C5,2),6))</f>
        <v>0</v>
      </c>
      <c r="T5" s="10" t="str">
        <f t="shared" ref="T5:T9" si="11">LEFT(RIGHT(_xlfn.BASE($C5,2),5))</f>
        <v>0</v>
      </c>
      <c r="U5" s="10" t="s">
        <v>41</v>
      </c>
      <c r="V5" s="10" t="str">
        <f>LEFT(RIGHT(_xlfn.BASE($C5,2),4))</f>
        <v>1</v>
      </c>
      <c r="W5" s="10" t="str">
        <f>LEFT(RIGHT(_xlfn.BASE($C5,2),3))</f>
        <v>1</v>
      </c>
      <c r="X5" s="10" t="str">
        <f>LEFT(RIGHT(_xlfn.BASE($C5,2),2))</f>
        <v>0</v>
      </c>
      <c r="Y5" s="10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 x14ac:dyDescent="0.2">
      <c r="A6" t="s">
        <v>3</v>
      </c>
      <c r="B6" s="1" t="s">
        <v>11</v>
      </c>
      <c r="C6">
        <f>C1+C2</f>
        <v>20098</v>
      </c>
      <c r="E6" t="s">
        <v>25</v>
      </c>
      <c r="G6" s="10">
        <f t="shared" si="0"/>
        <v>0</v>
      </c>
      <c r="H6" s="10" t="str">
        <f t="shared" si="1"/>
        <v>1</v>
      </c>
      <c r="I6" s="10" t="str">
        <f t="shared" si="2"/>
        <v>0</v>
      </c>
      <c r="J6" s="10" t="str">
        <f t="shared" si="3"/>
        <v>0</v>
      </c>
      <c r="K6" s="10" t="s">
        <v>41</v>
      </c>
      <c r="L6" s="10" t="str">
        <f t="shared" si="4"/>
        <v>1</v>
      </c>
      <c r="M6" s="10" t="str">
        <f t="shared" si="5"/>
        <v>1</v>
      </c>
      <c r="N6" s="10" t="str">
        <f t="shared" si="6"/>
        <v>1</v>
      </c>
      <c r="O6" s="10" t="str">
        <f t="shared" si="7"/>
        <v>0</v>
      </c>
      <c r="P6" s="10" t="s">
        <v>41</v>
      </c>
      <c r="Q6" s="10" t="str">
        <f t="shared" si="8"/>
        <v>1</v>
      </c>
      <c r="R6" s="10" t="str">
        <f t="shared" si="9"/>
        <v>0</v>
      </c>
      <c r="S6" s="10" t="str">
        <f t="shared" si="10"/>
        <v>0</v>
      </c>
      <c r="T6" s="10" t="str">
        <f t="shared" si="11"/>
        <v>0</v>
      </c>
      <c r="U6" s="10" t="s">
        <v>41</v>
      </c>
      <c r="V6" s="10" t="str">
        <f t="shared" ref="V6:V9" si="12">LEFT(RIGHT(_xlfn.BASE($C6,2),4))</f>
        <v>0</v>
      </c>
      <c r="W6" s="10" t="str">
        <f t="shared" ref="W6:W9" si="13">LEFT(RIGHT(_xlfn.BASE($C6,2),3))</f>
        <v>0</v>
      </c>
      <c r="X6" s="10" t="str">
        <f t="shared" ref="X6:X9" si="14">LEFT(RIGHT(_xlfn.BASE($C6,2),2))</f>
        <v>1</v>
      </c>
      <c r="Y6" s="10" t="str">
        <f t="shared" ref="Y6:Y9" si="15">RIGHT(_xlfn.BASE($C6,2),1)</f>
        <v>0</v>
      </c>
      <c r="Z6" s="5"/>
    </row>
    <row r="7" spans="1:31" x14ac:dyDescent="0.2">
      <c r="A7" t="s">
        <v>4</v>
      </c>
      <c r="B7" s="1" t="s">
        <v>12</v>
      </c>
      <c r="C7">
        <f>C1+C2+C2</f>
        <v>35214</v>
      </c>
      <c r="E7" t="s">
        <v>26</v>
      </c>
      <c r="G7" s="10" t="str">
        <f t="shared" si="0"/>
        <v>1</v>
      </c>
      <c r="H7" s="10" t="str">
        <f t="shared" si="1"/>
        <v>0</v>
      </c>
      <c r="I7" s="10" t="str">
        <f t="shared" si="2"/>
        <v>0</v>
      </c>
      <c r="J7" s="10" t="str">
        <f t="shared" si="3"/>
        <v>0</v>
      </c>
      <c r="K7" s="10" t="s">
        <v>41</v>
      </c>
      <c r="L7" s="10" t="str">
        <f t="shared" si="4"/>
        <v>1</v>
      </c>
      <c r="M7" s="10" t="str">
        <f t="shared" si="5"/>
        <v>0</v>
      </c>
      <c r="N7" s="10" t="str">
        <f t="shared" si="6"/>
        <v>0</v>
      </c>
      <c r="O7" s="10" t="str">
        <f t="shared" si="7"/>
        <v>1</v>
      </c>
      <c r="P7" s="10" t="s">
        <v>41</v>
      </c>
      <c r="Q7" s="10" t="str">
        <f t="shared" si="8"/>
        <v>1</v>
      </c>
      <c r="R7" s="10" t="str">
        <f t="shared" si="9"/>
        <v>0</v>
      </c>
      <c r="S7" s="10" t="str">
        <f t="shared" si="10"/>
        <v>0</v>
      </c>
      <c r="T7" s="10" t="str">
        <f t="shared" si="11"/>
        <v>0</v>
      </c>
      <c r="U7" s="10" t="s">
        <v>41</v>
      </c>
      <c r="V7" s="10" t="str">
        <f t="shared" si="12"/>
        <v>1</v>
      </c>
      <c r="W7" s="10" t="str">
        <f t="shared" si="13"/>
        <v>1</v>
      </c>
      <c r="X7" s="10" t="str">
        <f t="shared" si="14"/>
        <v>1</v>
      </c>
      <c r="Y7" s="10" t="str">
        <f t="shared" si="15"/>
        <v>0</v>
      </c>
      <c r="Z7" s="5"/>
    </row>
    <row r="8" spans="1:31" x14ac:dyDescent="0.2">
      <c r="A8" t="s">
        <v>5</v>
      </c>
      <c r="B8" s="1" t="s">
        <v>13</v>
      </c>
      <c r="C8">
        <f>C2-C1</f>
        <v>10134</v>
      </c>
      <c r="E8" t="s">
        <v>27</v>
      </c>
      <c r="G8" s="10">
        <f t="shared" si="0"/>
        <v>0</v>
      </c>
      <c r="H8" s="10">
        <f t="shared" si="1"/>
        <v>0</v>
      </c>
      <c r="I8" s="10" t="str">
        <f t="shared" si="2"/>
        <v>1</v>
      </c>
      <c r="J8" s="10" t="str">
        <f t="shared" si="3"/>
        <v>0</v>
      </c>
      <c r="K8" s="10" t="s">
        <v>41</v>
      </c>
      <c r="L8" s="10" t="str">
        <f t="shared" si="4"/>
        <v>0</v>
      </c>
      <c r="M8" s="10" t="str">
        <f t="shared" si="5"/>
        <v>1</v>
      </c>
      <c r="N8" s="10" t="str">
        <f t="shared" si="6"/>
        <v>1</v>
      </c>
      <c r="O8" s="10" t="str">
        <f t="shared" si="7"/>
        <v>1</v>
      </c>
      <c r="P8" s="10" t="s">
        <v>41</v>
      </c>
      <c r="Q8" s="10" t="str">
        <f t="shared" si="8"/>
        <v>1</v>
      </c>
      <c r="R8" s="10" t="str">
        <f t="shared" si="9"/>
        <v>0</v>
      </c>
      <c r="S8" s="10" t="str">
        <f t="shared" si="10"/>
        <v>0</v>
      </c>
      <c r="T8" s="10" t="str">
        <f t="shared" si="11"/>
        <v>1</v>
      </c>
      <c r="U8" s="10" t="s">
        <v>41</v>
      </c>
      <c r="V8" s="10" t="str">
        <f t="shared" si="12"/>
        <v>0</v>
      </c>
      <c r="W8" s="10" t="str">
        <f t="shared" si="13"/>
        <v>1</v>
      </c>
      <c r="X8" s="10" t="str">
        <f t="shared" si="14"/>
        <v>1</v>
      </c>
      <c r="Y8" s="10" t="str">
        <f t="shared" si="15"/>
        <v>0</v>
      </c>
      <c r="Z8" s="5"/>
    </row>
    <row r="9" spans="1:31" x14ac:dyDescent="0.2">
      <c r="A9" t="s">
        <v>6</v>
      </c>
      <c r="B9" s="1" t="s">
        <v>14</v>
      </c>
      <c r="C9">
        <f>65536-C7</f>
        <v>30322</v>
      </c>
      <c r="E9" t="s">
        <v>28</v>
      </c>
      <c r="G9" s="10">
        <f t="shared" si="0"/>
        <v>0</v>
      </c>
      <c r="H9" s="10" t="str">
        <f t="shared" si="1"/>
        <v>1</v>
      </c>
      <c r="I9" s="10" t="str">
        <f t="shared" si="2"/>
        <v>1</v>
      </c>
      <c r="J9" s="10" t="str">
        <f t="shared" si="3"/>
        <v>1</v>
      </c>
      <c r="K9" s="10" t="s">
        <v>41</v>
      </c>
      <c r="L9" s="10" t="str">
        <f t="shared" si="4"/>
        <v>0</v>
      </c>
      <c r="M9" s="10" t="str">
        <f t="shared" si="5"/>
        <v>1</v>
      </c>
      <c r="N9" s="10" t="str">
        <f t="shared" si="6"/>
        <v>1</v>
      </c>
      <c r="O9" s="10" t="str">
        <f t="shared" si="7"/>
        <v>0</v>
      </c>
      <c r="P9" s="10" t="s">
        <v>41</v>
      </c>
      <c r="Q9" s="10" t="str">
        <f t="shared" si="8"/>
        <v>0</v>
      </c>
      <c r="R9" s="10" t="str">
        <f t="shared" si="9"/>
        <v>1</v>
      </c>
      <c r="S9" s="10" t="str">
        <f t="shared" si="10"/>
        <v>1</v>
      </c>
      <c r="T9" s="10" t="str">
        <f t="shared" si="11"/>
        <v>1</v>
      </c>
      <c r="U9" s="10" t="s">
        <v>41</v>
      </c>
      <c r="V9" s="10" t="str">
        <f t="shared" si="12"/>
        <v>0</v>
      </c>
      <c r="W9" s="10" t="str">
        <f t="shared" si="13"/>
        <v>0</v>
      </c>
      <c r="X9" s="10" t="str">
        <f t="shared" si="14"/>
        <v>1</v>
      </c>
      <c r="Y9" s="10" t="str">
        <f t="shared" si="15"/>
        <v>0</v>
      </c>
      <c r="Z9" s="5"/>
    </row>
    <row r="10" spans="1:31" x14ac:dyDescent="0.2">
      <c r="A10" t="s">
        <v>7</v>
      </c>
      <c r="B10" s="3" t="s">
        <v>15</v>
      </c>
      <c r="C10">
        <f t="shared" ref="C10:C15" si="16">-C4</f>
        <v>-4982</v>
      </c>
      <c r="E10" t="s">
        <v>29</v>
      </c>
      <c r="F10" s="2" t="s">
        <v>35</v>
      </c>
      <c r="G10" s="10" t="str">
        <f>LEFT(RIGHT(IF($C10&lt;0, _xlfn.BASE(2^31+$C10, 2), _xlfn.BASE($C10, 2)),16),1)</f>
        <v>1</v>
      </c>
      <c r="H10" s="10" t="str">
        <f>LEFT(RIGHT(IF($C10&lt;0, _xlfn.BASE(2^31+$C10, 2), _xlfn.BASE($C10, 2)),15),1)</f>
        <v>1</v>
      </c>
      <c r="I10" s="10" t="str">
        <f>LEFT(RIGHT(IF($C10&lt;0, _xlfn.BASE(2^31+$C10, 2), _xlfn.BASE($C10, 2)),14),1)</f>
        <v>1</v>
      </c>
      <c r="J10" s="10" t="str">
        <f>LEFT(RIGHT(IF($C10&lt;0, _xlfn.BASE(2^31+$C10, 2), _xlfn.BASE($C10, 2)),13),1)</f>
        <v>0</v>
      </c>
      <c r="K10" s="10" t="s">
        <v>41</v>
      </c>
      <c r="L10" s="10" t="str">
        <f>LEFT(RIGHT(IF($C10&lt;0, _xlfn.BASE(2^31+$C10, 2), _xlfn.BASE($C10, 2)),12),1)</f>
        <v>1</v>
      </c>
      <c r="M10" s="10" t="str">
        <f>LEFT(RIGHT(IF($C10&lt;0, _xlfn.BASE(2^31+$C10, 2), _xlfn.BASE($C10, 2)),11),1)</f>
        <v>1</v>
      </c>
      <c r="N10" s="10" t="str">
        <f>LEFT(RIGHT(IF($C10&lt;0, _xlfn.BASE(2^31+$C10, 2), _xlfn.BASE($C10, 2)),10),1)</f>
        <v>0</v>
      </c>
      <c r="O10" s="10" t="str">
        <f>LEFT(RIGHT(IF($C10&lt;0, _xlfn.BASE(2^31+$C10, 2), _xlfn.BASE($C10, 2)),9),1)</f>
        <v>0</v>
      </c>
      <c r="P10" s="10" t="s">
        <v>41</v>
      </c>
      <c r="Q10" s="10" t="str">
        <f>LEFT(RIGHT(IF($C10&lt;0, _xlfn.BASE(2^31+$C10, 2), _xlfn.BASE($C10, 2)),8),1)</f>
        <v>1</v>
      </c>
      <c r="R10" s="10" t="str">
        <f>LEFT(RIGHT(IF($C10&lt;0, _xlfn.BASE(2^31+$C10, 2), _xlfn.BASE($C10, 2)),7),1)</f>
        <v>0</v>
      </c>
      <c r="S10" s="10" t="str">
        <f>LEFT(RIGHT(IF($C10&lt;0, _xlfn.BASE(2^31+$C10, 2), _xlfn.BASE($C10, 2)),6),1)</f>
        <v>0</v>
      </c>
      <c r="T10" s="10" t="str">
        <f>LEFT(RIGHT(IF($C10&lt;0, _xlfn.BASE(2^31+$C10, 2), _xlfn.BASE($C10, 2)),5),1)</f>
        <v>0</v>
      </c>
      <c r="U10" s="10" t="s">
        <v>41</v>
      </c>
      <c r="V10" s="10" t="str">
        <f>LEFT(RIGHT(IF($C10&lt;0, _xlfn.BASE(2^31+$C10, 2), _xlfn.BASE($C10, 2)),4),1)</f>
        <v>1</v>
      </c>
      <c r="W10" s="10" t="str">
        <f>LEFT(RIGHT(IF($C10&lt;0, _xlfn.BASE(2^31+$C10, 2), _xlfn.BASE($C10, 2)),3),1)</f>
        <v>0</v>
      </c>
      <c r="X10" s="10" t="str">
        <f>LEFT(RIGHT(IF($C10&lt;0, _xlfn.BASE(2^31+$C10, 2), _xlfn.BASE($C10, 2)),2),1)</f>
        <v>1</v>
      </c>
      <c r="Y10" s="10" t="str">
        <f>RIGHT(IF(C10&lt;0, _xlfn.BASE(2^31+C10, 2), _xlfn.BASE(C10, 2)),1)</f>
        <v>0</v>
      </c>
      <c r="Z10" s="5"/>
    </row>
    <row r="11" spans="1:31" x14ac:dyDescent="0.2">
      <c r="A11" t="s">
        <v>8</v>
      </c>
      <c r="B11" s="3" t="s">
        <v>16</v>
      </c>
      <c r="C11">
        <f t="shared" si="16"/>
        <v>-15116</v>
      </c>
      <c r="E11" t="s">
        <v>30</v>
      </c>
      <c r="F11" s="2" t="s">
        <v>36</v>
      </c>
      <c r="G11" s="10" t="str">
        <f t="shared" ref="G11:G15" si="17">LEFT(RIGHT(IF($C11&lt;0, _xlfn.BASE(2^31+$C11, 2), _xlfn.BASE($C11, 2)),16),1)</f>
        <v>1</v>
      </c>
      <c r="H11" s="10" t="str">
        <f t="shared" ref="H11:H15" si="18">LEFT(RIGHT(IF($C11&lt;0, _xlfn.BASE(2^31+$C11, 2), _xlfn.BASE($C11, 2)),15),1)</f>
        <v>1</v>
      </c>
      <c r="I11" s="10" t="str">
        <f t="shared" ref="I11:I15" si="19">LEFT(RIGHT(IF($C11&lt;0, _xlfn.BASE(2^31+$C11, 2), _xlfn.BASE($C11, 2)),14),1)</f>
        <v>0</v>
      </c>
      <c r="J11" s="10" t="str">
        <f t="shared" ref="J11:J15" si="20">LEFT(RIGHT(IF($C11&lt;0, _xlfn.BASE(2^31+$C11, 2), _xlfn.BASE($C11, 2)),13),1)</f>
        <v>0</v>
      </c>
      <c r="K11" s="10" t="s">
        <v>41</v>
      </c>
      <c r="L11" s="10" t="str">
        <f t="shared" ref="L11:L15" si="21">LEFT(RIGHT(IF($C11&lt;0, _xlfn.BASE(2^31+$C11, 2), _xlfn.BASE($C11, 2)),12),1)</f>
        <v>0</v>
      </c>
      <c r="M11" s="10" t="str">
        <f t="shared" ref="M11:M15" si="22">LEFT(RIGHT(IF($C11&lt;0, _xlfn.BASE(2^31+$C11, 2), _xlfn.BASE($C11, 2)),11),1)</f>
        <v>1</v>
      </c>
      <c r="N11" s="10" t="str">
        <f t="shared" ref="N11:N15" si="23">LEFT(RIGHT(IF($C11&lt;0, _xlfn.BASE(2^31+$C11, 2), _xlfn.BASE($C11, 2)),10),1)</f>
        <v>0</v>
      </c>
      <c r="O11" s="10" t="str">
        <f t="shared" ref="O11:O15" si="24">LEFT(RIGHT(IF($C11&lt;0, _xlfn.BASE(2^31+$C11, 2), _xlfn.BASE($C11, 2)),9),1)</f>
        <v>0</v>
      </c>
      <c r="P11" s="10" t="s">
        <v>41</v>
      </c>
      <c r="Q11" s="10" t="str">
        <f t="shared" ref="Q11:Q15" si="25">LEFT(RIGHT(IF($C11&lt;0, _xlfn.BASE(2^31+$C11, 2), _xlfn.BASE($C11, 2)),8),1)</f>
        <v>1</v>
      </c>
      <c r="R11" s="10" t="str">
        <f t="shared" ref="R11:R15" si="26">LEFT(RIGHT(IF($C11&lt;0, _xlfn.BASE(2^31+$C11, 2), _xlfn.BASE($C11, 2)),7),1)</f>
        <v>1</v>
      </c>
      <c r="S11" s="10" t="str">
        <f t="shared" ref="S11:S15" si="27">LEFT(RIGHT(IF($C11&lt;0, _xlfn.BASE(2^31+$C11, 2), _xlfn.BASE($C11, 2)),6),1)</f>
        <v>1</v>
      </c>
      <c r="T11" s="10" t="str">
        <f t="shared" ref="T11:T15" si="28">LEFT(RIGHT(IF($C11&lt;0, _xlfn.BASE(2^31+$C11, 2), _xlfn.BASE($C11, 2)),5),1)</f>
        <v>1</v>
      </c>
      <c r="U11" s="10" t="s">
        <v>41</v>
      </c>
      <c r="V11" s="10" t="str">
        <f t="shared" ref="V11:V15" si="29">LEFT(RIGHT(IF($C11&lt;0, _xlfn.BASE(2^31+$C11, 2), _xlfn.BASE($C11, 2)),4),1)</f>
        <v>0</v>
      </c>
      <c r="W11" s="10" t="str">
        <f t="shared" ref="W11:W15" si="30">LEFT(RIGHT(IF($C11&lt;0, _xlfn.BASE(2^31+$C11, 2), _xlfn.BASE($C11, 2)),3),1)</f>
        <v>1</v>
      </c>
      <c r="X11" s="10" t="str">
        <f t="shared" ref="X11:X15" si="31">LEFT(RIGHT(IF($C11&lt;0, _xlfn.BASE(2^31+$C11, 2), _xlfn.BASE($C11, 2)),2),1)</f>
        <v>0</v>
      </c>
      <c r="Y11" s="10" t="str">
        <f t="shared" ref="Y11:Y15" si="32">RIGHT(IF(C11&lt;0, _xlfn.BASE(2^31+C11, 2), _xlfn.BASE(C11, 2)),1)</f>
        <v>0</v>
      </c>
      <c r="Z11" s="5"/>
    </row>
    <row r="12" spans="1:31" x14ac:dyDescent="0.2">
      <c r="A12" t="s">
        <v>9</v>
      </c>
      <c r="B12" s="3" t="s">
        <v>17</v>
      </c>
      <c r="C12">
        <f t="shared" si="16"/>
        <v>-20098</v>
      </c>
      <c r="E12" t="s">
        <v>31</v>
      </c>
      <c r="F12" s="2" t="s">
        <v>37</v>
      </c>
      <c r="G12" s="10" t="str">
        <f t="shared" si="17"/>
        <v>1</v>
      </c>
      <c r="H12" s="10" t="str">
        <f t="shared" si="18"/>
        <v>0</v>
      </c>
      <c r="I12" s="10" t="str">
        <f t="shared" si="19"/>
        <v>1</v>
      </c>
      <c r="J12" s="10" t="str">
        <f t="shared" si="20"/>
        <v>1</v>
      </c>
      <c r="K12" s="10" t="s">
        <v>41</v>
      </c>
      <c r="L12" s="10" t="str">
        <f t="shared" si="21"/>
        <v>0</v>
      </c>
      <c r="M12" s="10" t="str">
        <f t="shared" si="22"/>
        <v>0</v>
      </c>
      <c r="N12" s="10" t="str">
        <f t="shared" si="23"/>
        <v>0</v>
      </c>
      <c r="O12" s="10" t="str">
        <f t="shared" si="24"/>
        <v>1</v>
      </c>
      <c r="P12" s="10" t="s">
        <v>41</v>
      </c>
      <c r="Q12" s="10" t="str">
        <f t="shared" si="25"/>
        <v>0</v>
      </c>
      <c r="R12" s="10" t="str">
        <f t="shared" si="26"/>
        <v>1</v>
      </c>
      <c r="S12" s="10" t="str">
        <f t="shared" si="27"/>
        <v>1</v>
      </c>
      <c r="T12" s="10" t="str">
        <f t="shared" si="28"/>
        <v>1</v>
      </c>
      <c r="U12" s="10" t="s">
        <v>41</v>
      </c>
      <c r="V12" s="10" t="str">
        <f t="shared" si="29"/>
        <v>1</v>
      </c>
      <c r="W12" s="10" t="str">
        <f t="shared" si="30"/>
        <v>1</v>
      </c>
      <c r="X12" s="10" t="str">
        <f t="shared" si="31"/>
        <v>1</v>
      </c>
      <c r="Y12" s="10" t="str">
        <f t="shared" si="32"/>
        <v>0</v>
      </c>
      <c r="Z12" s="5"/>
    </row>
    <row r="13" spans="1:31" x14ac:dyDescent="0.2">
      <c r="A13" t="s">
        <v>18</v>
      </c>
      <c r="B13" s="3" t="s">
        <v>21</v>
      </c>
      <c r="C13">
        <f t="shared" si="16"/>
        <v>-35214</v>
      </c>
      <c r="E13" t="s">
        <v>32</v>
      </c>
      <c r="F13" s="2" t="s">
        <v>38</v>
      </c>
      <c r="G13" s="10" t="str">
        <f t="shared" si="17"/>
        <v>0</v>
      </c>
      <c r="H13" s="10" t="str">
        <f t="shared" si="18"/>
        <v>1</v>
      </c>
      <c r="I13" s="10" t="str">
        <f t="shared" si="19"/>
        <v>1</v>
      </c>
      <c r="J13" s="10" t="str">
        <f t="shared" si="20"/>
        <v>1</v>
      </c>
      <c r="K13" s="10" t="s">
        <v>41</v>
      </c>
      <c r="L13" s="10" t="str">
        <f t="shared" si="21"/>
        <v>0</v>
      </c>
      <c r="M13" s="10" t="str">
        <f t="shared" si="22"/>
        <v>1</v>
      </c>
      <c r="N13" s="10" t="str">
        <f t="shared" si="23"/>
        <v>1</v>
      </c>
      <c r="O13" s="10" t="str">
        <f t="shared" si="24"/>
        <v>0</v>
      </c>
      <c r="P13" s="10" t="s">
        <v>41</v>
      </c>
      <c r="Q13" s="10" t="str">
        <f t="shared" si="25"/>
        <v>0</v>
      </c>
      <c r="R13" s="10" t="str">
        <f t="shared" si="26"/>
        <v>1</v>
      </c>
      <c r="S13" s="10" t="str">
        <f t="shared" si="27"/>
        <v>1</v>
      </c>
      <c r="T13" s="10" t="str">
        <f t="shared" si="28"/>
        <v>1</v>
      </c>
      <c r="U13" s="10" t="s">
        <v>41</v>
      </c>
      <c r="V13" s="10" t="str">
        <f t="shared" si="29"/>
        <v>0</v>
      </c>
      <c r="W13" s="10" t="str">
        <f t="shared" si="30"/>
        <v>0</v>
      </c>
      <c r="X13" s="10" t="str">
        <f t="shared" si="31"/>
        <v>1</v>
      </c>
      <c r="Y13" s="10" t="str">
        <f t="shared" si="32"/>
        <v>0</v>
      </c>
      <c r="Z13" s="5"/>
    </row>
    <row r="14" spans="1:31" x14ac:dyDescent="0.2">
      <c r="A14" t="s">
        <v>19</v>
      </c>
      <c r="B14" s="3" t="s">
        <v>22</v>
      </c>
      <c r="C14">
        <f t="shared" si="16"/>
        <v>-10134</v>
      </c>
      <c r="E14" t="s">
        <v>33</v>
      </c>
      <c r="F14" s="2" t="s">
        <v>39</v>
      </c>
      <c r="G14" s="10" t="str">
        <f t="shared" si="17"/>
        <v>1</v>
      </c>
      <c r="H14" s="10" t="str">
        <f t="shared" si="18"/>
        <v>1</v>
      </c>
      <c r="I14" s="10" t="str">
        <f t="shared" si="19"/>
        <v>0</v>
      </c>
      <c r="J14" s="10" t="str">
        <f t="shared" si="20"/>
        <v>1</v>
      </c>
      <c r="K14" s="10" t="s">
        <v>41</v>
      </c>
      <c r="L14" s="10" t="str">
        <f t="shared" si="21"/>
        <v>1</v>
      </c>
      <c r="M14" s="10" t="str">
        <f t="shared" si="22"/>
        <v>0</v>
      </c>
      <c r="N14" s="10" t="str">
        <f t="shared" si="23"/>
        <v>0</v>
      </c>
      <c r="O14" s="10" t="str">
        <f t="shared" si="24"/>
        <v>0</v>
      </c>
      <c r="P14" s="10" t="s">
        <v>41</v>
      </c>
      <c r="Q14" s="10" t="str">
        <f t="shared" si="25"/>
        <v>0</v>
      </c>
      <c r="R14" s="10" t="str">
        <f t="shared" si="26"/>
        <v>1</v>
      </c>
      <c r="S14" s="10" t="str">
        <f t="shared" si="27"/>
        <v>1</v>
      </c>
      <c r="T14" s="10" t="str">
        <f t="shared" si="28"/>
        <v>0</v>
      </c>
      <c r="U14" s="10" t="s">
        <v>41</v>
      </c>
      <c r="V14" s="10" t="str">
        <f t="shared" si="29"/>
        <v>1</v>
      </c>
      <c r="W14" s="10" t="str">
        <f t="shared" si="30"/>
        <v>0</v>
      </c>
      <c r="X14" s="10" t="str">
        <f t="shared" si="31"/>
        <v>1</v>
      </c>
      <c r="Y14" s="10" t="str">
        <f t="shared" si="32"/>
        <v>0</v>
      </c>
      <c r="Z14" s="5"/>
    </row>
    <row r="15" spans="1:31" x14ac:dyDescent="0.2">
      <c r="A15" t="s">
        <v>20</v>
      </c>
      <c r="B15" s="3" t="s">
        <v>6</v>
      </c>
      <c r="C15">
        <f t="shared" si="16"/>
        <v>-30322</v>
      </c>
      <c r="E15" t="s">
        <v>34</v>
      </c>
      <c r="F15" s="2" t="s">
        <v>40</v>
      </c>
      <c r="G15" s="10" t="str">
        <f t="shared" si="17"/>
        <v>1</v>
      </c>
      <c r="H15" s="10" t="str">
        <f t="shared" si="18"/>
        <v>0</v>
      </c>
      <c r="I15" s="10" t="str">
        <f t="shared" si="19"/>
        <v>0</v>
      </c>
      <c r="J15" s="10" t="str">
        <f t="shared" si="20"/>
        <v>0</v>
      </c>
      <c r="K15" s="10" t="s">
        <v>41</v>
      </c>
      <c r="L15" s="10" t="str">
        <f t="shared" si="21"/>
        <v>1</v>
      </c>
      <c r="M15" s="10" t="str">
        <f t="shared" si="22"/>
        <v>0</v>
      </c>
      <c r="N15" s="10" t="str">
        <f t="shared" si="23"/>
        <v>0</v>
      </c>
      <c r="O15" s="10" t="str">
        <f t="shared" si="24"/>
        <v>1</v>
      </c>
      <c r="P15" s="10" t="s">
        <v>41</v>
      </c>
      <c r="Q15" s="10" t="str">
        <f t="shared" si="25"/>
        <v>1</v>
      </c>
      <c r="R15" s="10" t="str">
        <f t="shared" si="26"/>
        <v>0</v>
      </c>
      <c r="S15" s="10" t="str">
        <f t="shared" si="27"/>
        <v>0</v>
      </c>
      <c r="T15" s="10" t="str">
        <f t="shared" si="28"/>
        <v>0</v>
      </c>
      <c r="U15" s="10" t="s">
        <v>41</v>
      </c>
      <c r="V15" s="10" t="str">
        <f t="shared" si="29"/>
        <v>1</v>
      </c>
      <c r="W15" s="10" t="str">
        <f t="shared" si="30"/>
        <v>1</v>
      </c>
      <c r="X15" s="10" t="str">
        <f t="shared" si="31"/>
        <v>1</v>
      </c>
      <c r="Y15" s="10" t="str">
        <f t="shared" si="32"/>
        <v>0</v>
      </c>
      <c r="Z15" s="5"/>
    </row>
    <row r="17" spans="5:36" ht="18" customHeight="1" x14ac:dyDescent="0.25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0</v>
      </c>
      <c r="M17" s="4" t="str">
        <f t="shared" si="33"/>
        <v>0</v>
      </c>
      <c r="N17" s="4" t="str">
        <f t="shared" si="33"/>
        <v>1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4982</v>
      </c>
      <c r="AG17" s="12" t="s">
        <v>80</v>
      </c>
      <c r="AH17" s="12"/>
      <c r="AI17" s="12"/>
      <c r="AJ17" s="12"/>
    </row>
    <row r="18" spans="5:36" ht="18" x14ac:dyDescent="0.25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1</v>
      </c>
      <c r="M18" s="4" t="str">
        <f t="shared" si="33"/>
        <v>0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0</v>
      </c>
      <c r="S18" s="4" t="str">
        <f t="shared" si="33"/>
        <v>0</v>
      </c>
      <c r="T18" s="4" t="str">
        <f t="shared" si="33"/>
        <v>0</v>
      </c>
      <c r="U18" s="4" t="str">
        <f t="shared" si="33"/>
        <v>.</v>
      </c>
      <c r="V18" s="4" t="str">
        <f t="shared" si="33"/>
        <v>1</v>
      </c>
      <c r="W18" s="4" t="str">
        <f t="shared" si="33"/>
        <v>1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15116</v>
      </c>
      <c r="AG18" s="12"/>
      <c r="AH18" s="12"/>
      <c r="AI18" s="12"/>
      <c r="AJ18" s="12"/>
    </row>
    <row r="19" spans="5:36" x14ac:dyDescent="0.2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2"/>
      <c r="AH19" s="12"/>
      <c r="AI19" s="12"/>
      <c r="AJ19" s="12"/>
    </row>
    <row r="20" spans="5:36" ht="18" x14ac:dyDescent="0.25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0</v>
      </c>
      <c r="K20" t="s">
        <v>41</v>
      </c>
      <c r="L20">
        <f t="shared" ref="L20:M20" si="35">MOD(L17+L18 + IF(M17+M18&gt;M20,1,0),2)</f>
        <v>1</v>
      </c>
      <c r="M20">
        <f t="shared" si="35"/>
        <v>1</v>
      </c>
      <c r="N20">
        <f>MOD(N17+N18 + IF(O17+O18&gt;O20,1,0),2)</f>
        <v>1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0</v>
      </c>
      <c r="S20">
        <f>MOD(S17+S18 + IF(T17+T18&gt;T20,1,0),2)</f>
        <v>0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0</v>
      </c>
      <c r="W20">
        <f t="shared" si="37"/>
        <v>0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 -1* (2^15 - (Y20*2^0 +X20*2^1 + W20*2^2 + V20*2^3+T20*2^4 + S20*2^5 +R20*2^6 + Q20*2^7+O20*2^8+N20*2^9+M20*2^10+L20*2^11+J20*2^12+I20*2^13 +H20*2^14)))</f>
        <v>20098</v>
      </c>
      <c r="AB20" s="8" t="s">
        <v>51</v>
      </c>
      <c r="AE20">
        <f>AE18+AE17</f>
        <v>20098</v>
      </c>
      <c r="AF20" s="8" t="s">
        <v>51</v>
      </c>
      <c r="AG20" s="12"/>
      <c r="AH20" s="12"/>
      <c r="AI20" s="12"/>
      <c r="AJ20" s="12"/>
    </row>
    <row r="22" spans="5:36" x14ac:dyDescent="0.2">
      <c r="G22" s="13" t="s">
        <v>54</v>
      </c>
      <c r="H22" s="13"/>
      <c r="I22">
        <f>IF(G17+G18&gt;G20,1,0)</f>
        <v>0</v>
      </c>
      <c r="J22" s="13" t="s">
        <v>55</v>
      </c>
      <c r="K22" s="13"/>
      <c r="L22">
        <f>ABS(MOD(COUNTIF(Q20:Y20, "1"),2) - 1)</f>
        <v>1</v>
      </c>
      <c r="M22" s="13" t="s">
        <v>56</v>
      </c>
      <c r="N22" s="13"/>
      <c r="O22">
        <f>IF(OR(V17+V18&gt;V20,),1,0)</f>
        <v>1</v>
      </c>
      <c r="P22" s="13" t="s">
        <v>57</v>
      </c>
      <c r="Q22" s="13"/>
      <c r="R22">
        <f>IF(AA20=0,1,0)</f>
        <v>0</v>
      </c>
      <c r="S22" s="13" t="s">
        <v>58</v>
      </c>
      <c r="T22" s="13"/>
      <c r="U22">
        <f>G20</f>
        <v>0</v>
      </c>
      <c r="V22" s="13" t="s">
        <v>59</v>
      </c>
      <c r="W22" s="13"/>
      <c r="X22">
        <f>IF(AA20&lt;&gt;AE20,1,0)</f>
        <v>0</v>
      </c>
    </row>
    <row r="25" spans="5:36" ht="18" x14ac:dyDescent="0.25">
      <c r="F25" t="s">
        <v>64</v>
      </c>
      <c r="G25" s="4">
        <f t="shared" ref="G25:X25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1</v>
      </c>
      <c r="M25" s="4" t="str">
        <f t="shared" si="38"/>
        <v>0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0</v>
      </c>
      <c r="S25" s="4" t="str">
        <f t="shared" si="38"/>
        <v>0</v>
      </c>
      <c r="T25" s="4" t="str">
        <f t="shared" si="38"/>
        <v>0</v>
      </c>
      <c r="U25" s="4" t="str">
        <f t="shared" si="38"/>
        <v>.</v>
      </c>
      <c r="V25" s="4" t="str">
        <f t="shared" si="38"/>
        <v>1</v>
      </c>
      <c r="W25" s="4" t="str">
        <f t="shared" si="38"/>
        <v>1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15116</v>
      </c>
      <c r="AG25" s="12" t="s">
        <v>81</v>
      </c>
      <c r="AH25" s="12"/>
      <c r="AI25" s="12"/>
      <c r="AJ25" s="12"/>
    </row>
    <row r="26" spans="5:36" ht="18" x14ac:dyDescent="0.25">
      <c r="E26" t="s">
        <v>42</v>
      </c>
      <c r="F26" s="7" t="s">
        <v>65</v>
      </c>
      <c r="G26" s="4">
        <f t="shared" ref="G26:X26" si="39">G6</f>
        <v>0</v>
      </c>
      <c r="H26" s="4" t="str">
        <f t="shared" si="39"/>
        <v>1</v>
      </c>
      <c r="I26" s="4" t="str">
        <f t="shared" si="39"/>
        <v>0</v>
      </c>
      <c r="J26" s="4" t="str">
        <f t="shared" si="39"/>
        <v>0</v>
      </c>
      <c r="K26" s="4" t="str">
        <f t="shared" si="39"/>
        <v>.</v>
      </c>
      <c r="L26" s="4" t="str">
        <f t="shared" si="39"/>
        <v>1</v>
      </c>
      <c r="M26" s="4" t="str">
        <f t="shared" si="39"/>
        <v>1</v>
      </c>
      <c r="N26" s="4" t="str">
        <f t="shared" si="39"/>
        <v>1</v>
      </c>
      <c r="O26" s="4" t="str">
        <f t="shared" si="39"/>
        <v>0</v>
      </c>
      <c r="P26" s="4" t="str">
        <f t="shared" si="39"/>
        <v>.</v>
      </c>
      <c r="Q26" s="4" t="str">
        <f t="shared" si="39"/>
        <v>1</v>
      </c>
      <c r="R26" s="4" t="str">
        <f t="shared" si="39"/>
        <v>0</v>
      </c>
      <c r="S26" s="4" t="str">
        <f t="shared" si="39"/>
        <v>0</v>
      </c>
      <c r="T26" s="4" t="str">
        <f t="shared" si="39"/>
        <v>0</v>
      </c>
      <c r="U26" s="4" t="str">
        <f t="shared" si="39"/>
        <v>.</v>
      </c>
      <c r="V26" s="4" t="str">
        <f t="shared" si="39"/>
        <v>0</v>
      </c>
      <c r="W26" s="4" t="str">
        <f t="shared" si="39"/>
        <v>0</v>
      </c>
      <c r="X26" s="4" t="str">
        <f t="shared" si="39"/>
        <v>1</v>
      </c>
      <c r="Y26" s="4" t="str">
        <f>Y6</f>
        <v>0</v>
      </c>
      <c r="AD26" s="3" t="s">
        <v>67</v>
      </c>
      <c r="AE26" s="4">
        <f>C6</f>
        <v>20098</v>
      </c>
      <c r="AG26" s="12"/>
      <c r="AH26" s="12"/>
      <c r="AI26" s="12"/>
      <c r="AJ26" s="12"/>
    </row>
    <row r="27" spans="5:36" x14ac:dyDescent="0.2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2"/>
      <c r="AH27" s="12"/>
      <c r="AI27" s="12"/>
      <c r="AJ27" s="12"/>
    </row>
    <row r="28" spans="5:36" ht="18" x14ac:dyDescent="0.25">
      <c r="G28">
        <f t="shared" ref="G28:H28" si="40">MOD(G25+G26 + IF(H25+H26&gt;H28,1,0),2)</f>
        <v>1</v>
      </c>
      <c r="H28">
        <f t="shared" si="40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1">MOD(L25+L26 + IF(M25+M26&gt;M28,1,0),2)</f>
        <v>1</v>
      </c>
      <c r="M28">
        <f t="shared" si="41"/>
        <v>0</v>
      </c>
      <c r="N28">
        <f>MOD(N25+N26 + IF(O25+O26&gt;O28,1,0),2)</f>
        <v>0</v>
      </c>
      <c r="O28">
        <f>MOD(O25+O26 + IF(Q25+Q26&gt;Q28,1,0),2)</f>
        <v>1</v>
      </c>
      <c r="P28" t="s">
        <v>41</v>
      </c>
      <c r="Q28">
        <f t="shared" ref="Q28:R28" si="42">MOD(Q25+Q26 + IF(R25+R26&gt;R28,1,0),2)</f>
        <v>1</v>
      </c>
      <c r="R28">
        <f t="shared" si="42"/>
        <v>0</v>
      </c>
      <c r="S28">
        <f>MOD(S25+S26 + IF(T25+T26&gt;T28,1,0),2)</f>
        <v>0</v>
      </c>
      <c r="T28">
        <f>MOD(T25+T26 + IF(V25+V26&gt;V28,1,0),2)</f>
        <v>0</v>
      </c>
      <c r="U28" t="s">
        <v>41</v>
      </c>
      <c r="V28">
        <f t="shared" ref="V28:W28" si="43">MOD(V25+V26 + IF(W25+W26&gt;W28,1,0),2)</f>
        <v>1</v>
      </c>
      <c r="W28">
        <f t="shared" si="43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-30322</v>
      </c>
      <c r="AB28" s="8" t="s">
        <v>51</v>
      </c>
      <c r="AE28">
        <f>AE26+AE25</f>
        <v>35214</v>
      </c>
      <c r="AG28" s="12"/>
      <c r="AH28" s="12"/>
      <c r="AI28" s="12"/>
      <c r="AJ28" s="12"/>
    </row>
    <row r="30" spans="5:36" x14ac:dyDescent="0.2">
      <c r="G30" s="13" t="s">
        <v>54</v>
      </c>
      <c r="H30" s="13"/>
      <c r="I30">
        <f>IF(G25+G26&gt;G28,1,0)</f>
        <v>0</v>
      </c>
      <c r="J30" s="13" t="s">
        <v>55</v>
      </c>
      <c r="K30" s="13"/>
      <c r="L30">
        <f>ABS(MOD(COUNTIF(Q28:Y28, "1"),2) - 1)</f>
        <v>1</v>
      </c>
      <c r="M30" s="13" t="s">
        <v>56</v>
      </c>
      <c r="N30" s="13"/>
      <c r="O30">
        <f>IF(OR(V25+V26&gt;V28,),1,0)</f>
        <v>0</v>
      </c>
      <c r="P30" s="13" t="s">
        <v>57</v>
      </c>
      <c r="Q30" s="13"/>
      <c r="R30">
        <f>IF(AA28=0,1,0)</f>
        <v>0</v>
      </c>
      <c r="S30" s="13" t="s">
        <v>58</v>
      </c>
      <c r="T30" s="13"/>
      <c r="U30">
        <f>G28</f>
        <v>1</v>
      </c>
      <c r="V30" s="13" t="s">
        <v>59</v>
      </c>
      <c r="W30" s="13"/>
      <c r="X30">
        <f>IF(AA28&lt;&gt;AE28,1,0)</f>
        <v>1</v>
      </c>
    </row>
    <row r="33" spans="5:36" ht="18" x14ac:dyDescent="0.25">
      <c r="F33" t="s">
        <v>64</v>
      </c>
      <c r="G33" s="4">
        <f t="shared" ref="G33:X33" si="44">G5</f>
        <v>0</v>
      </c>
      <c r="H33" s="4">
        <f t="shared" si="44"/>
        <v>0</v>
      </c>
      <c r="I33" s="4" t="str">
        <f t="shared" si="44"/>
        <v>1</v>
      </c>
      <c r="J33" s="4" t="str">
        <f t="shared" si="44"/>
        <v>1</v>
      </c>
      <c r="K33" s="4" t="str">
        <f t="shared" si="44"/>
        <v>.</v>
      </c>
      <c r="L33" s="4" t="str">
        <f t="shared" si="44"/>
        <v>1</v>
      </c>
      <c r="M33" s="4" t="str">
        <f t="shared" si="44"/>
        <v>0</v>
      </c>
      <c r="N33" s="4" t="str">
        <f t="shared" si="44"/>
        <v>1</v>
      </c>
      <c r="O33" s="4" t="str">
        <f t="shared" si="44"/>
        <v>1</v>
      </c>
      <c r="P33" s="4" t="str">
        <f t="shared" si="44"/>
        <v>.</v>
      </c>
      <c r="Q33" s="4" t="str">
        <f t="shared" si="44"/>
        <v>0</v>
      </c>
      <c r="R33" s="4" t="str">
        <f t="shared" si="44"/>
        <v>0</v>
      </c>
      <c r="S33" s="4" t="str">
        <f t="shared" si="44"/>
        <v>0</v>
      </c>
      <c r="T33" s="4" t="str">
        <f t="shared" si="44"/>
        <v>0</v>
      </c>
      <c r="U33" s="4" t="str">
        <f t="shared" si="44"/>
        <v>.</v>
      </c>
      <c r="V33" s="4" t="str">
        <f t="shared" si="44"/>
        <v>1</v>
      </c>
      <c r="W33" s="4" t="str">
        <f t="shared" si="44"/>
        <v>1</v>
      </c>
      <c r="X33" s="4" t="str">
        <f t="shared" si="44"/>
        <v>0</v>
      </c>
      <c r="Y33" s="4" t="str">
        <f>Y5</f>
        <v>0</v>
      </c>
      <c r="AD33" s="3" t="s">
        <v>66</v>
      </c>
      <c r="AE33" s="4">
        <f>C5</f>
        <v>15116</v>
      </c>
      <c r="AG33" s="12" t="s">
        <v>82</v>
      </c>
      <c r="AH33" s="12"/>
      <c r="AI33" s="12"/>
      <c r="AJ33" s="12"/>
    </row>
    <row r="34" spans="5:36" ht="18" x14ac:dyDescent="0.25">
      <c r="E34" t="s">
        <v>42</v>
      </c>
      <c r="F34" s="7" t="s">
        <v>68</v>
      </c>
      <c r="G34" s="4" t="str">
        <f t="shared" ref="G34:X34" si="45">G10</f>
        <v>1</v>
      </c>
      <c r="H34" s="4" t="str">
        <f t="shared" si="45"/>
        <v>1</v>
      </c>
      <c r="I34" s="4" t="str">
        <f t="shared" si="45"/>
        <v>1</v>
      </c>
      <c r="J34" s="4" t="str">
        <f t="shared" si="45"/>
        <v>0</v>
      </c>
      <c r="K34" s="4" t="str">
        <f t="shared" si="45"/>
        <v>.</v>
      </c>
      <c r="L34" s="4" t="str">
        <f t="shared" si="45"/>
        <v>1</v>
      </c>
      <c r="M34" s="4" t="str">
        <f t="shared" si="45"/>
        <v>1</v>
      </c>
      <c r="N34" s="4" t="str">
        <f t="shared" si="45"/>
        <v>0</v>
      </c>
      <c r="O34" s="4" t="str">
        <f t="shared" si="45"/>
        <v>0</v>
      </c>
      <c r="P34" s="4" t="str">
        <f t="shared" si="45"/>
        <v>.</v>
      </c>
      <c r="Q34" s="4" t="str">
        <f t="shared" si="45"/>
        <v>1</v>
      </c>
      <c r="R34" s="4" t="str">
        <f t="shared" si="45"/>
        <v>0</v>
      </c>
      <c r="S34" s="4" t="str">
        <f t="shared" si="45"/>
        <v>0</v>
      </c>
      <c r="T34" s="4" t="str">
        <f t="shared" si="45"/>
        <v>0</v>
      </c>
      <c r="U34" s="4" t="str">
        <f t="shared" si="45"/>
        <v>.</v>
      </c>
      <c r="V34" s="4" t="str">
        <f t="shared" si="45"/>
        <v>1</v>
      </c>
      <c r="W34" s="4" t="str">
        <f t="shared" si="45"/>
        <v>0</v>
      </c>
      <c r="X34" s="4" t="str">
        <f t="shared" si="45"/>
        <v>1</v>
      </c>
      <c r="Y34" s="4" t="str">
        <f>Y10</f>
        <v>0</v>
      </c>
      <c r="AD34" s="3" t="s">
        <v>69</v>
      </c>
      <c r="AE34" s="4">
        <f>C10</f>
        <v>-4982</v>
      </c>
      <c r="AG34" s="12"/>
      <c r="AH34" s="12"/>
      <c r="AI34" s="12"/>
      <c r="AJ34" s="12"/>
    </row>
    <row r="35" spans="5:36" x14ac:dyDescent="0.2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2"/>
      <c r="AH35" s="12"/>
      <c r="AI35" s="12"/>
      <c r="AJ35" s="12"/>
    </row>
    <row r="36" spans="5:36" ht="18" x14ac:dyDescent="0.25">
      <c r="G36">
        <f t="shared" ref="G36:H36" si="46">MOD(G33+G34 + IF(H33+H34&gt;H36,1,0),2)</f>
        <v>0</v>
      </c>
      <c r="H36">
        <f t="shared" si="46"/>
        <v>0</v>
      </c>
      <c r="I36">
        <f>MOD(I33+I34 + IF(J33+J34&gt;J36,1,0),2)</f>
        <v>1</v>
      </c>
      <c r="J36">
        <f>MOD(J33+J34 + IF(L33+L34&gt;L36,1,0),2)</f>
        <v>0</v>
      </c>
      <c r="K36" t="s">
        <v>41</v>
      </c>
      <c r="L36">
        <f t="shared" ref="L36:M36" si="47">MOD(L33+L34 + IF(M33+M34&gt;M36,1,0),2)</f>
        <v>0</v>
      </c>
      <c r="M36">
        <f t="shared" si="47"/>
        <v>1</v>
      </c>
      <c r="N36">
        <f>MOD(N33+N34 + IF(O33+O34&gt;O36,1,0),2)</f>
        <v>1</v>
      </c>
      <c r="O36">
        <f>MOD(O33+O34 + IF(Q33+Q34&gt;Q36,1,0),2)</f>
        <v>1</v>
      </c>
      <c r="P36" t="s">
        <v>41</v>
      </c>
      <c r="Q36">
        <f t="shared" ref="Q36:R36" si="48">MOD(Q33+Q34 + IF(R33+R34&gt;R36,1,0),2)</f>
        <v>1</v>
      </c>
      <c r="R36">
        <f t="shared" si="48"/>
        <v>0</v>
      </c>
      <c r="S36">
        <f>MOD(S33+S34 + IF(T33+T34&gt;T36,1,0),2)</f>
        <v>0</v>
      </c>
      <c r="T36">
        <f>MOD(T33+T34 + IF(V33+V34&gt;V36,1,0),2)</f>
        <v>1</v>
      </c>
      <c r="U36" t="s">
        <v>41</v>
      </c>
      <c r="V36">
        <f t="shared" ref="V36:W36" si="49">MOD(V33+V34 + IF(W33+W34&gt;W36,1,0),2)</f>
        <v>0</v>
      </c>
      <c r="W36">
        <f t="shared" si="49"/>
        <v>1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10134</v>
      </c>
      <c r="AB36" s="8" t="s">
        <v>51</v>
      </c>
      <c r="AE36">
        <f>AE34+AE33</f>
        <v>10134</v>
      </c>
      <c r="AG36" s="12"/>
      <c r="AH36" s="12"/>
      <c r="AI36" s="12"/>
      <c r="AJ36" s="12"/>
    </row>
    <row r="38" spans="5:36" x14ac:dyDescent="0.2">
      <c r="G38" s="13" t="s">
        <v>54</v>
      </c>
      <c r="H38" s="13"/>
      <c r="I38">
        <f>IF(G33+G34&gt;G36,1,0)</f>
        <v>1</v>
      </c>
      <c r="J38" s="13" t="s">
        <v>55</v>
      </c>
      <c r="K38" s="13"/>
      <c r="L38">
        <f>ABS(MOD(COUNTIF(Q36:Y36, "1"),2) - 1)</f>
        <v>1</v>
      </c>
      <c r="M38" s="13" t="s">
        <v>56</v>
      </c>
      <c r="N38" s="13"/>
      <c r="O38">
        <f>IF(OR(V33+V34&gt;V36,),1,0)</f>
        <v>1</v>
      </c>
      <c r="P38" s="13" t="s">
        <v>57</v>
      </c>
      <c r="Q38" s="13"/>
      <c r="R38">
        <f>IF(AA36=0,1,0)</f>
        <v>0</v>
      </c>
      <c r="S38" s="13" t="s">
        <v>58</v>
      </c>
      <c r="T38" s="13"/>
      <c r="U38">
        <f>G36</f>
        <v>0</v>
      </c>
      <c r="V38" s="13" t="s">
        <v>59</v>
      </c>
      <c r="W38" s="13"/>
      <c r="X38">
        <f>IF(AA36&lt;&gt;AE36,1,0)</f>
        <v>0</v>
      </c>
    </row>
    <row r="41" spans="5:36" ht="18" x14ac:dyDescent="0.25">
      <c r="F41" t="s">
        <v>70</v>
      </c>
      <c r="G41" s="4" t="str">
        <f t="shared" ref="G41:X41" si="50">G10</f>
        <v>1</v>
      </c>
      <c r="H41" s="4" t="str">
        <f t="shared" si="50"/>
        <v>1</v>
      </c>
      <c r="I41" s="4" t="str">
        <f t="shared" si="50"/>
        <v>1</v>
      </c>
      <c r="J41" s="4" t="str">
        <f t="shared" si="50"/>
        <v>0</v>
      </c>
      <c r="K41" s="4" t="str">
        <f t="shared" si="50"/>
        <v>.</v>
      </c>
      <c r="L41" s="4" t="str">
        <f t="shared" si="50"/>
        <v>1</v>
      </c>
      <c r="M41" s="4" t="str">
        <f t="shared" si="50"/>
        <v>1</v>
      </c>
      <c r="N41" s="4" t="str">
        <f t="shared" si="50"/>
        <v>0</v>
      </c>
      <c r="O41" s="4" t="str">
        <f t="shared" si="50"/>
        <v>0</v>
      </c>
      <c r="P41" s="4" t="str">
        <f t="shared" si="50"/>
        <v>.</v>
      </c>
      <c r="Q41" s="4" t="str">
        <f t="shared" si="50"/>
        <v>1</v>
      </c>
      <c r="R41" s="4" t="str">
        <f t="shared" si="50"/>
        <v>0</v>
      </c>
      <c r="S41" s="4" t="str">
        <f t="shared" si="50"/>
        <v>0</v>
      </c>
      <c r="T41" s="4" t="str">
        <f t="shared" si="50"/>
        <v>0</v>
      </c>
      <c r="U41" s="4" t="str">
        <f t="shared" si="50"/>
        <v>.</v>
      </c>
      <c r="V41" s="4" t="str">
        <f t="shared" si="50"/>
        <v>1</v>
      </c>
      <c r="W41" s="4" t="str">
        <f t="shared" si="50"/>
        <v>0</v>
      </c>
      <c r="X41" s="4" t="str">
        <f t="shared" si="50"/>
        <v>1</v>
      </c>
      <c r="Y41" s="4" t="str">
        <f>Y10</f>
        <v>0</v>
      </c>
      <c r="AD41" s="3" t="s">
        <v>72</v>
      </c>
      <c r="AE41" s="4">
        <f>C10</f>
        <v>-4982</v>
      </c>
      <c r="AG41" s="12" t="s">
        <v>83</v>
      </c>
      <c r="AH41" s="12"/>
      <c r="AI41" s="12"/>
      <c r="AJ41" s="12"/>
    </row>
    <row r="42" spans="5:36" ht="18" x14ac:dyDescent="0.25">
      <c r="E42" t="s">
        <v>42</v>
      </c>
      <c r="F42" s="7" t="s">
        <v>71</v>
      </c>
      <c r="G42" s="4" t="str">
        <f t="shared" ref="G42:X42" si="51">G11</f>
        <v>1</v>
      </c>
      <c r="H42" s="4" t="str">
        <f t="shared" si="51"/>
        <v>1</v>
      </c>
      <c r="I42" s="4" t="str">
        <f t="shared" si="51"/>
        <v>0</v>
      </c>
      <c r="J42" s="4" t="str">
        <f t="shared" si="51"/>
        <v>0</v>
      </c>
      <c r="K42" s="4" t="str">
        <f t="shared" si="51"/>
        <v>.</v>
      </c>
      <c r="L42" s="4" t="str">
        <f t="shared" si="51"/>
        <v>0</v>
      </c>
      <c r="M42" s="4" t="str">
        <f t="shared" si="51"/>
        <v>1</v>
      </c>
      <c r="N42" s="4" t="str">
        <f t="shared" si="51"/>
        <v>0</v>
      </c>
      <c r="O42" s="4" t="str">
        <f t="shared" si="51"/>
        <v>0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0</v>
      </c>
      <c r="Y42" s="4" t="str">
        <f>Y11</f>
        <v>0</v>
      </c>
      <c r="AD42" s="3" t="s">
        <v>73</v>
      </c>
      <c r="AE42" s="4">
        <f>C11</f>
        <v>-15116</v>
      </c>
      <c r="AG42" s="12"/>
      <c r="AH42" s="12"/>
      <c r="AI42" s="12"/>
      <c r="AJ42" s="12"/>
    </row>
    <row r="43" spans="5:36" x14ac:dyDescent="0.2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2"/>
      <c r="AH43" s="12"/>
      <c r="AI43" s="12"/>
      <c r="AJ43" s="12"/>
    </row>
    <row r="44" spans="5:36" ht="18" x14ac:dyDescent="0.25">
      <c r="G44">
        <f t="shared" ref="G44:H44" si="52">MOD(G41+G42 + IF(H41+H42&gt;H44,1,0),2)</f>
        <v>1</v>
      </c>
      <c r="H44">
        <f t="shared" si="52"/>
        <v>0</v>
      </c>
      <c r="I44">
        <f>MOD(I41+I42 + IF(J41+J42&gt;J44,1,0),2)</f>
        <v>1</v>
      </c>
      <c r="J44">
        <f>MOD(J41+J42 + IF(L41+L42&gt;L44,1,0),2)</f>
        <v>1</v>
      </c>
      <c r="K44" t="s">
        <v>41</v>
      </c>
      <c r="L44">
        <f t="shared" ref="L44:M44" si="53">MOD(L41+L42 + IF(M41+M42&gt;M44,1,0),2)</f>
        <v>0</v>
      </c>
      <c r="M44">
        <f t="shared" si="53"/>
        <v>0</v>
      </c>
      <c r="N44">
        <f>MOD(N41+N42 + IF(O41+O42&gt;O44,1,0),2)</f>
        <v>0</v>
      </c>
      <c r="O44">
        <f>MOD(O41+O42 + IF(Q41+Q42&gt;Q44,1,0),2)</f>
        <v>1</v>
      </c>
      <c r="P44" t="s">
        <v>41</v>
      </c>
      <c r="Q44">
        <f t="shared" ref="Q44:R44" si="54">MOD(Q41+Q42 + IF(R41+R42&gt;R44,1,0),2)</f>
        <v>0</v>
      </c>
      <c r="R44">
        <f t="shared" si="54"/>
        <v>1</v>
      </c>
      <c r="S44">
        <f>MOD(S41+S42 + IF(T41+T42&gt;T44,1,0),2)</f>
        <v>1</v>
      </c>
      <c r="T44">
        <f>MOD(T41+T42 + IF(V41+V42&gt;V44,1,0),2)</f>
        <v>1</v>
      </c>
      <c r="U44" t="s">
        <v>41</v>
      </c>
      <c r="V44">
        <f t="shared" ref="V44:W44" si="55">MOD(V41+V42 + IF(W41+W42&gt;W44,1,0),2)</f>
        <v>1</v>
      </c>
      <c r="W44">
        <f t="shared" si="55"/>
        <v>1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-20098</v>
      </c>
      <c r="AB44" s="8" t="s">
        <v>51</v>
      </c>
      <c r="AE44">
        <f>AE42+AE41</f>
        <v>-20098</v>
      </c>
      <c r="AG44" s="12"/>
      <c r="AH44" s="12"/>
      <c r="AI44" s="12"/>
      <c r="AJ44" s="12"/>
    </row>
    <row r="46" spans="5:36" x14ac:dyDescent="0.2">
      <c r="G46" s="13" t="s">
        <v>54</v>
      </c>
      <c r="H46" s="13"/>
      <c r="I46">
        <f>IF(G41+G42&gt;G44,1,0)</f>
        <v>1</v>
      </c>
      <c r="J46" s="13" t="s">
        <v>55</v>
      </c>
      <c r="K46" s="13"/>
      <c r="L46">
        <f>ABS(MOD(COUNTIF(Q44:Y44, "1"),2) - 1)</f>
        <v>1</v>
      </c>
      <c r="M46" s="13" t="s">
        <v>56</v>
      </c>
      <c r="N46" s="13"/>
      <c r="O46">
        <f>IF(OR(V41+V42&gt;V44,),1,0)</f>
        <v>0</v>
      </c>
      <c r="P46" s="13" t="s">
        <v>57</v>
      </c>
      <c r="Q46" s="13"/>
      <c r="R46">
        <f>IF(AA44=0,1,0)</f>
        <v>0</v>
      </c>
      <c r="S46" s="13" t="s">
        <v>58</v>
      </c>
      <c r="T46" s="13"/>
      <c r="U46">
        <f>G44</f>
        <v>1</v>
      </c>
      <c r="V46" s="13" t="s">
        <v>59</v>
      </c>
      <c r="W46" s="13"/>
      <c r="X46">
        <f>IF(AA44&lt;&gt;AE44,1,0)</f>
        <v>0</v>
      </c>
    </row>
    <row r="49" spans="5:36" ht="18" x14ac:dyDescent="0.25">
      <c r="F49" t="s">
        <v>74</v>
      </c>
      <c r="G49" s="4" t="str">
        <f t="shared" ref="G49:X49" si="56">G11</f>
        <v>1</v>
      </c>
      <c r="H49" s="4" t="str">
        <f t="shared" si="56"/>
        <v>1</v>
      </c>
      <c r="I49" s="4" t="str">
        <f t="shared" si="56"/>
        <v>0</v>
      </c>
      <c r="J49" s="4" t="str">
        <f t="shared" si="56"/>
        <v>0</v>
      </c>
      <c r="K49" s="4" t="str">
        <f t="shared" si="56"/>
        <v>.</v>
      </c>
      <c r="L49" s="4" t="str">
        <f t="shared" si="56"/>
        <v>0</v>
      </c>
      <c r="M49" s="4" t="str">
        <f t="shared" si="56"/>
        <v>1</v>
      </c>
      <c r="N49" s="4" t="str">
        <f t="shared" si="56"/>
        <v>0</v>
      </c>
      <c r="O49" s="4" t="str">
        <f t="shared" si="56"/>
        <v>0</v>
      </c>
      <c r="P49" s="4" t="str">
        <f t="shared" si="56"/>
        <v>.</v>
      </c>
      <c r="Q49" s="4" t="str">
        <f t="shared" si="56"/>
        <v>1</v>
      </c>
      <c r="R49" s="4" t="str">
        <f t="shared" si="56"/>
        <v>1</v>
      </c>
      <c r="S49" s="4" t="str">
        <f t="shared" si="56"/>
        <v>1</v>
      </c>
      <c r="T49" s="4" t="str">
        <f t="shared" si="56"/>
        <v>1</v>
      </c>
      <c r="U49" s="4" t="str">
        <f t="shared" si="56"/>
        <v>.</v>
      </c>
      <c r="V49" s="4" t="str">
        <f t="shared" si="56"/>
        <v>0</v>
      </c>
      <c r="W49" s="4" t="str">
        <f t="shared" si="56"/>
        <v>1</v>
      </c>
      <c r="X49" s="4" t="str">
        <f t="shared" si="56"/>
        <v>0</v>
      </c>
      <c r="Y49" s="4" t="str">
        <f>Y11</f>
        <v>0</v>
      </c>
      <c r="AD49" s="3" t="s">
        <v>76</v>
      </c>
      <c r="AE49" s="4">
        <f>C11</f>
        <v>-15116</v>
      </c>
      <c r="AG49" s="12" t="s">
        <v>84</v>
      </c>
      <c r="AH49" s="12"/>
      <c r="AI49" s="12"/>
      <c r="AJ49" s="12"/>
    </row>
    <row r="50" spans="5:36" ht="18" x14ac:dyDescent="0.25">
      <c r="E50" t="s">
        <v>42</v>
      </c>
      <c r="F50" s="7" t="s">
        <v>75</v>
      </c>
      <c r="G50" s="4" t="str">
        <f t="shared" ref="G50:X50" si="57">G12</f>
        <v>1</v>
      </c>
      <c r="H50" s="4" t="str">
        <f t="shared" si="57"/>
        <v>0</v>
      </c>
      <c r="I50" s="4" t="str">
        <f t="shared" si="57"/>
        <v>1</v>
      </c>
      <c r="J50" s="4" t="str">
        <f t="shared" si="57"/>
        <v>1</v>
      </c>
      <c r="K50" s="4" t="str">
        <f t="shared" si="57"/>
        <v>.</v>
      </c>
      <c r="L50" s="4" t="str">
        <f t="shared" si="57"/>
        <v>0</v>
      </c>
      <c r="M50" s="4" t="str">
        <f t="shared" si="57"/>
        <v>0</v>
      </c>
      <c r="N50" s="4" t="str">
        <f t="shared" si="57"/>
        <v>0</v>
      </c>
      <c r="O50" s="4" t="str">
        <f t="shared" si="57"/>
        <v>1</v>
      </c>
      <c r="P50" s="4" t="str">
        <f t="shared" si="57"/>
        <v>.</v>
      </c>
      <c r="Q50" s="4" t="str">
        <f t="shared" si="57"/>
        <v>0</v>
      </c>
      <c r="R50" s="4" t="str">
        <f t="shared" si="57"/>
        <v>1</v>
      </c>
      <c r="S50" s="4" t="str">
        <f t="shared" si="57"/>
        <v>1</v>
      </c>
      <c r="T50" s="4" t="str">
        <f t="shared" si="57"/>
        <v>1</v>
      </c>
      <c r="U50" s="4" t="str">
        <f t="shared" si="57"/>
        <v>.</v>
      </c>
      <c r="V50" s="4" t="str">
        <f t="shared" si="57"/>
        <v>1</v>
      </c>
      <c r="W50" s="4" t="str">
        <f t="shared" si="57"/>
        <v>1</v>
      </c>
      <c r="X50" s="4" t="str">
        <f t="shared" si="57"/>
        <v>1</v>
      </c>
      <c r="Y50" s="4" t="str">
        <f>Y12</f>
        <v>0</v>
      </c>
      <c r="AD50" s="3" t="s">
        <v>77</v>
      </c>
      <c r="AE50" s="4">
        <f>C12</f>
        <v>-20098</v>
      </c>
      <c r="AG50" s="12"/>
      <c r="AH50" s="12"/>
      <c r="AI50" s="12"/>
      <c r="AJ50" s="12"/>
    </row>
    <row r="51" spans="5:36" x14ac:dyDescent="0.2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2"/>
      <c r="AH51" s="12"/>
      <c r="AI51" s="12"/>
      <c r="AJ51" s="12"/>
    </row>
    <row r="52" spans="5:36" ht="18" x14ac:dyDescent="0.25">
      <c r="G52">
        <f t="shared" ref="G52:H52" si="58">MOD(G49+G50 + IF(H49+H50&gt;H52,1,0),2)</f>
        <v>0</v>
      </c>
      <c r="H52">
        <f t="shared" si="58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9">MOD(L49+L50 + IF(M49+M50&gt;M52,1,0),2)</f>
        <v>0</v>
      </c>
      <c r="M52">
        <f t="shared" si="59"/>
        <v>1</v>
      </c>
      <c r="N52">
        <f>MOD(N49+N50 + IF(O49+O50&gt;O52,1,0),2)</f>
        <v>1</v>
      </c>
      <c r="O52">
        <f>MOD(O49+O50 + IF(Q49+Q50&gt;Q52,1,0),2)</f>
        <v>0</v>
      </c>
      <c r="P52" t="s">
        <v>41</v>
      </c>
      <c r="Q52">
        <f t="shared" ref="Q52:R52" si="60">MOD(Q49+Q50 + IF(R49+R50&gt;R52,1,0),2)</f>
        <v>0</v>
      </c>
      <c r="R52">
        <f t="shared" si="60"/>
        <v>1</v>
      </c>
      <c r="S52">
        <f>MOD(S49+S50 + IF(T49+T50&gt;T52,1,0),2)</f>
        <v>1</v>
      </c>
      <c r="T52">
        <f>MOD(T49+T50 + IF(V49+V50&gt;V52,1,0),2)</f>
        <v>1</v>
      </c>
      <c r="U52" t="s">
        <v>41</v>
      </c>
      <c r="V52">
        <f t="shared" ref="V52:W52" si="61">MOD(V49+V50 + IF(W49+W50&gt;W52,1,0),2)</f>
        <v>0</v>
      </c>
      <c r="W52">
        <f t="shared" si="61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30322</v>
      </c>
      <c r="AB52" s="8" t="s">
        <v>51</v>
      </c>
      <c r="AE52">
        <f>AE50+AE49</f>
        <v>-35214</v>
      </c>
      <c r="AG52" s="12"/>
      <c r="AH52" s="12"/>
      <c r="AI52" s="12"/>
      <c r="AJ52" s="12"/>
    </row>
    <row r="54" spans="5:36" x14ac:dyDescent="0.2">
      <c r="G54" s="13" t="s">
        <v>54</v>
      </c>
      <c r="H54" s="13"/>
      <c r="I54">
        <f>IF(G49+G50&gt;G52,1,0)</f>
        <v>1</v>
      </c>
      <c r="J54" s="13" t="s">
        <v>55</v>
      </c>
      <c r="K54" s="13"/>
      <c r="L54">
        <f>ABS(MOD(COUNTIF(Q52:Y52, "1"),2) - 1)</f>
        <v>1</v>
      </c>
      <c r="M54" s="13" t="s">
        <v>56</v>
      </c>
      <c r="N54" s="13"/>
      <c r="O54">
        <f>IF(OR(V49+V50&gt;V52, ),1,0)</f>
        <v>1</v>
      </c>
      <c r="P54" s="13" t="s">
        <v>57</v>
      </c>
      <c r="Q54" s="13"/>
      <c r="R54">
        <f>IF(AA52=0,1,0)</f>
        <v>0</v>
      </c>
      <c r="S54" s="13" t="s">
        <v>58</v>
      </c>
      <c r="T54" s="13"/>
      <c r="U54">
        <f>G52</f>
        <v>0</v>
      </c>
      <c r="V54" s="13" t="s">
        <v>59</v>
      </c>
      <c r="W54" s="13"/>
      <c r="X54">
        <f>IF(AA52&lt;&gt;AE52,1,0)</f>
        <v>1</v>
      </c>
    </row>
    <row r="57" spans="5:36" ht="18" x14ac:dyDescent="0.25">
      <c r="F57" t="s">
        <v>45</v>
      </c>
      <c r="G57" s="4">
        <f t="shared" ref="G57:X57" si="62">G4</f>
        <v>0</v>
      </c>
      <c r="H57" s="4">
        <f t="shared" si="62"/>
        <v>0</v>
      </c>
      <c r="I57" s="4">
        <f t="shared" si="62"/>
        <v>0</v>
      </c>
      <c r="J57" s="4" t="str">
        <f t="shared" si="62"/>
        <v>1</v>
      </c>
      <c r="K57" s="4" t="str">
        <f t="shared" si="62"/>
        <v>.</v>
      </c>
      <c r="L57" s="4" t="str">
        <f t="shared" si="62"/>
        <v>0</v>
      </c>
      <c r="M57" s="4" t="str">
        <f t="shared" si="62"/>
        <v>0</v>
      </c>
      <c r="N57" s="4" t="str">
        <f t="shared" si="62"/>
        <v>1</v>
      </c>
      <c r="O57" s="4" t="str">
        <f t="shared" si="62"/>
        <v>1</v>
      </c>
      <c r="P57" s="4" t="str">
        <f t="shared" si="62"/>
        <v>.</v>
      </c>
      <c r="Q57" s="4" t="str">
        <f t="shared" si="62"/>
        <v>0</v>
      </c>
      <c r="R57" s="4" t="str">
        <f t="shared" si="62"/>
        <v>1</v>
      </c>
      <c r="S57" s="4" t="str">
        <f t="shared" si="62"/>
        <v>1</v>
      </c>
      <c r="T57" s="4" t="str">
        <f t="shared" si="62"/>
        <v>1</v>
      </c>
      <c r="U57" s="4" t="str">
        <f t="shared" si="62"/>
        <v>.</v>
      </c>
      <c r="V57" s="4" t="str">
        <f t="shared" si="62"/>
        <v>0</v>
      </c>
      <c r="W57" s="4" t="str">
        <f t="shared" si="62"/>
        <v>1</v>
      </c>
      <c r="X57" s="4" t="str">
        <f t="shared" si="62"/>
        <v>1</v>
      </c>
      <c r="Y57" s="4" t="str">
        <f>Y4</f>
        <v>0</v>
      </c>
      <c r="AD57" s="3" t="s">
        <v>47</v>
      </c>
      <c r="AE57" s="4">
        <f>C4</f>
        <v>4982</v>
      </c>
      <c r="AG57" s="12" t="s">
        <v>82</v>
      </c>
      <c r="AH57" s="12"/>
      <c r="AI57" s="12"/>
      <c r="AJ57" s="12"/>
    </row>
    <row r="58" spans="5:36" ht="18" x14ac:dyDescent="0.25">
      <c r="E58" t="s">
        <v>42</v>
      </c>
      <c r="F58" s="7" t="s">
        <v>71</v>
      </c>
      <c r="G58" s="4" t="str">
        <f t="shared" ref="G58:X58" si="63">G11</f>
        <v>1</v>
      </c>
      <c r="H58" s="4" t="str">
        <f t="shared" si="63"/>
        <v>1</v>
      </c>
      <c r="I58" s="4" t="str">
        <f t="shared" si="63"/>
        <v>0</v>
      </c>
      <c r="J58" s="4" t="str">
        <f t="shared" si="63"/>
        <v>0</v>
      </c>
      <c r="K58" s="4" t="str">
        <f t="shared" si="63"/>
        <v>.</v>
      </c>
      <c r="L58" s="4" t="str">
        <f t="shared" si="63"/>
        <v>0</v>
      </c>
      <c r="M58" s="4" t="str">
        <f t="shared" si="63"/>
        <v>1</v>
      </c>
      <c r="N58" s="4" t="str">
        <f t="shared" si="63"/>
        <v>0</v>
      </c>
      <c r="O58" s="4" t="str">
        <f t="shared" si="63"/>
        <v>0</v>
      </c>
      <c r="P58" s="4" t="str">
        <f t="shared" si="63"/>
        <v>.</v>
      </c>
      <c r="Q58" s="4" t="str">
        <f t="shared" si="63"/>
        <v>1</v>
      </c>
      <c r="R58" s="4" t="str">
        <f t="shared" si="63"/>
        <v>1</v>
      </c>
      <c r="S58" s="4" t="str">
        <f t="shared" si="63"/>
        <v>1</v>
      </c>
      <c r="T58" s="4" t="str">
        <f t="shared" si="63"/>
        <v>1</v>
      </c>
      <c r="U58" s="4" t="str">
        <f t="shared" si="63"/>
        <v>.</v>
      </c>
      <c r="V58" s="4" t="str">
        <f t="shared" si="63"/>
        <v>0</v>
      </c>
      <c r="W58" s="4" t="str">
        <f t="shared" si="63"/>
        <v>1</v>
      </c>
      <c r="X58" s="4" t="str">
        <f t="shared" si="63"/>
        <v>0</v>
      </c>
      <c r="Y58" s="4" t="str">
        <f>Y11</f>
        <v>0</v>
      </c>
      <c r="AD58" s="3" t="s">
        <v>73</v>
      </c>
      <c r="AE58" s="4">
        <f>C11</f>
        <v>-15116</v>
      </c>
      <c r="AG58" s="12"/>
      <c r="AH58" s="12"/>
      <c r="AI58" s="12"/>
      <c r="AJ58" s="12"/>
    </row>
    <row r="59" spans="5:36" x14ac:dyDescent="0.2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2"/>
      <c r="AH59" s="12"/>
      <c r="AI59" s="12"/>
      <c r="AJ59" s="12"/>
    </row>
    <row r="60" spans="5:36" ht="18" x14ac:dyDescent="0.25">
      <c r="G60">
        <f t="shared" ref="G60:H60" si="64">MOD(G57+G58 + IF(H57+H58&gt;H60,1,0),2)</f>
        <v>1</v>
      </c>
      <c r="H60">
        <f t="shared" si="64"/>
        <v>1</v>
      </c>
      <c r="I60">
        <f>MOD(I57+I58 + IF(J57+J58&gt;J60,1,0),2)</f>
        <v>0</v>
      </c>
      <c r="J60">
        <f>MOD(J57+J58 + IF(L57+L58&gt;L60,1,0),2)</f>
        <v>1</v>
      </c>
      <c r="K60" t="s">
        <v>41</v>
      </c>
      <c r="L60">
        <f t="shared" ref="L60:M60" si="65">MOD(L57+L58 + IF(M57+M58&gt;M60,1,0),2)</f>
        <v>1</v>
      </c>
      <c r="M60">
        <f t="shared" si="65"/>
        <v>0</v>
      </c>
      <c r="N60">
        <f>MOD(N57+N58 + IF(O57+O58&gt;O60,1,0),2)</f>
        <v>0</v>
      </c>
      <c r="O60">
        <f>MOD(O57+O58 + IF(Q57+Q58&gt;Q60,1,0),2)</f>
        <v>0</v>
      </c>
      <c r="P60" t="s">
        <v>41</v>
      </c>
      <c r="Q60">
        <f t="shared" ref="Q60:R60" si="66">MOD(Q57+Q58 + IF(R57+R58&gt;R60,1,0),2)</f>
        <v>0</v>
      </c>
      <c r="R60">
        <f t="shared" si="66"/>
        <v>1</v>
      </c>
      <c r="S60">
        <f>MOD(S57+S58 + IF(T57+T58&gt;T60,1,0),2)</f>
        <v>1</v>
      </c>
      <c r="T60">
        <f>MOD(T57+T58 + IF(V57+V58&gt;V60,1,0),2)</f>
        <v>0</v>
      </c>
      <c r="U60" t="s">
        <v>41</v>
      </c>
      <c r="V60">
        <f t="shared" ref="V60:W60" si="67">MOD(V57+V58 + IF(W57+W58&gt;W60,1,0),2)</f>
        <v>1</v>
      </c>
      <c r="W60">
        <f t="shared" si="67"/>
        <v>0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-10134</v>
      </c>
      <c r="AB60" s="8" t="s">
        <v>51</v>
      </c>
      <c r="AE60">
        <f>AE58+AE57</f>
        <v>-10134</v>
      </c>
      <c r="AG60" s="12"/>
      <c r="AH60" s="12"/>
      <c r="AI60" s="12"/>
      <c r="AJ60" s="12"/>
    </row>
    <row r="62" spans="5:36" x14ac:dyDescent="0.2">
      <c r="G62" s="13" t="s">
        <v>54</v>
      </c>
      <c r="H62" s="13"/>
      <c r="I62">
        <f>IF(G57+G58&gt;G60,1,0)</f>
        <v>0</v>
      </c>
      <c r="J62" s="13" t="s">
        <v>55</v>
      </c>
      <c r="K62" s="13"/>
      <c r="L62">
        <f>ABS(MOD(COUNTIF(Q60:Y60, "1"),2) - 1)</f>
        <v>1</v>
      </c>
      <c r="M62" s="13" t="s">
        <v>56</v>
      </c>
      <c r="N62" s="13"/>
      <c r="O62">
        <f>IF(OR(V57+V58&gt;V60,),1,0)</f>
        <v>0</v>
      </c>
      <c r="P62" s="13" t="s">
        <v>57</v>
      </c>
      <c r="Q62" s="13"/>
      <c r="R62">
        <f>IF(AA60=0,1,0)</f>
        <v>0</v>
      </c>
      <c r="S62" s="13" t="s">
        <v>58</v>
      </c>
      <c r="T62" s="13"/>
      <c r="U62">
        <f>G60</f>
        <v>1</v>
      </c>
      <c r="V62" s="13" t="s">
        <v>59</v>
      </c>
      <c r="W62" s="13"/>
      <c r="X62">
        <f>IF(AA60&lt;&gt;AE60,1,0)</f>
        <v>0</v>
      </c>
    </row>
    <row r="65" spans="5:36" ht="18" customHeight="1" x14ac:dyDescent="0.25">
      <c r="F65" t="s">
        <v>78</v>
      </c>
      <c r="G65" s="4" t="str">
        <f t="shared" ref="G65:X65" si="68">G14</f>
        <v>1</v>
      </c>
      <c r="H65" s="4" t="str">
        <f t="shared" si="68"/>
        <v>1</v>
      </c>
      <c r="I65" s="4" t="str">
        <f t="shared" si="68"/>
        <v>0</v>
      </c>
      <c r="J65" s="4" t="str">
        <f t="shared" si="68"/>
        <v>1</v>
      </c>
      <c r="K65" s="4" t="str">
        <f t="shared" si="68"/>
        <v>.</v>
      </c>
      <c r="L65" s="4" t="str">
        <f t="shared" si="68"/>
        <v>1</v>
      </c>
      <c r="M65" s="4" t="str">
        <f t="shared" si="68"/>
        <v>0</v>
      </c>
      <c r="N65" s="4" t="str">
        <f t="shared" si="68"/>
        <v>0</v>
      </c>
      <c r="O65" s="4" t="str">
        <f t="shared" si="68"/>
        <v>0</v>
      </c>
      <c r="P65" s="4" t="str">
        <f t="shared" si="68"/>
        <v>.</v>
      </c>
      <c r="Q65" s="4" t="str">
        <f t="shared" si="68"/>
        <v>0</v>
      </c>
      <c r="R65" s="4" t="str">
        <f t="shared" si="68"/>
        <v>1</v>
      </c>
      <c r="S65" s="4" t="str">
        <f t="shared" si="68"/>
        <v>1</v>
      </c>
      <c r="T65" s="4" t="str">
        <f t="shared" si="68"/>
        <v>0</v>
      </c>
      <c r="U65" s="4" t="str">
        <f t="shared" si="68"/>
        <v>.</v>
      </c>
      <c r="V65" s="4" t="str">
        <f t="shared" si="68"/>
        <v>1</v>
      </c>
      <c r="W65" s="4" t="str">
        <f t="shared" si="68"/>
        <v>0</v>
      </c>
      <c r="X65" s="4" t="str">
        <f t="shared" si="68"/>
        <v>1</v>
      </c>
      <c r="Y65" s="4" t="str">
        <f>Y14</f>
        <v>0</v>
      </c>
      <c r="AD65" s="3" t="s">
        <v>79</v>
      </c>
      <c r="AE65" s="4">
        <f>C14</f>
        <v>-10134</v>
      </c>
      <c r="AG65" s="12" t="s">
        <v>82</v>
      </c>
      <c r="AH65" s="12"/>
      <c r="AI65" s="12"/>
      <c r="AJ65" s="12"/>
    </row>
    <row r="66" spans="5:36" ht="18" x14ac:dyDescent="0.25">
      <c r="E66" t="s">
        <v>42</v>
      </c>
      <c r="F66" s="7" t="s">
        <v>65</v>
      </c>
      <c r="G66" s="4">
        <f t="shared" ref="G66:X66" si="69">G6</f>
        <v>0</v>
      </c>
      <c r="H66" s="4" t="str">
        <f t="shared" si="69"/>
        <v>1</v>
      </c>
      <c r="I66" s="4" t="str">
        <f t="shared" si="69"/>
        <v>0</v>
      </c>
      <c r="J66" s="4" t="str">
        <f t="shared" si="69"/>
        <v>0</v>
      </c>
      <c r="K66" s="4" t="str">
        <f t="shared" si="69"/>
        <v>.</v>
      </c>
      <c r="L66" s="4" t="str">
        <f t="shared" si="69"/>
        <v>1</v>
      </c>
      <c r="M66" s="4" t="str">
        <f t="shared" si="69"/>
        <v>1</v>
      </c>
      <c r="N66" s="4" t="str">
        <f t="shared" si="69"/>
        <v>1</v>
      </c>
      <c r="O66" s="4" t="str">
        <f t="shared" si="69"/>
        <v>0</v>
      </c>
      <c r="P66" s="4" t="str">
        <f t="shared" si="69"/>
        <v>.</v>
      </c>
      <c r="Q66" s="4" t="str">
        <f t="shared" si="69"/>
        <v>1</v>
      </c>
      <c r="R66" s="4" t="str">
        <f t="shared" si="69"/>
        <v>0</v>
      </c>
      <c r="S66" s="4" t="str">
        <f t="shared" si="69"/>
        <v>0</v>
      </c>
      <c r="T66" s="4" t="str">
        <f t="shared" si="69"/>
        <v>0</v>
      </c>
      <c r="U66" s="4" t="str">
        <f t="shared" si="69"/>
        <v>.</v>
      </c>
      <c r="V66" s="4" t="str">
        <f t="shared" si="69"/>
        <v>0</v>
      </c>
      <c r="W66" s="4" t="str">
        <f t="shared" si="69"/>
        <v>0</v>
      </c>
      <c r="X66" s="4" t="str">
        <f t="shared" si="69"/>
        <v>1</v>
      </c>
      <c r="Y66" s="4" t="str">
        <f>Y6</f>
        <v>0</v>
      </c>
      <c r="AD66" s="3" t="s">
        <v>67</v>
      </c>
      <c r="AE66" s="4">
        <f>C6</f>
        <v>20098</v>
      </c>
      <c r="AG66" s="12"/>
      <c r="AH66" s="12"/>
      <c r="AI66" s="12"/>
      <c r="AJ66" s="12"/>
    </row>
    <row r="67" spans="5:36" x14ac:dyDescent="0.2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2"/>
      <c r="AH67" s="12"/>
      <c r="AI67" s="12"/>
      <c r="AJ67" s="12"/>
    </row>
    <row r="68" spans="5:36" ht="18" x14ac:dyDescent="0.25">
      <c r="G68">
        <f t="shared" ref="G68:H68" si="70">MOD(G65+G66 + IF(H65+H66&gt;H68,1,0),2)</f>
        <v>0</v>
      </c>
      <c r="H68">
        <f t="shared" si="70"/>
        <v>0</v>
      </c>
      <c r="I68">
        <f>MOD(I65+I66 + IF(J65+J66&gt;J68,1,0),2)</f>
        <v>1</v>
      </c>
      <c r="J68">
        <f>MOD(J65+J66 + IF(L65+L66&gt;L68,1,0),2)</f>
        <v>0</v>
      </c>
      <c r="K68" t="s">
        <v>41</v>
      </c>
      <c r="L68">
        <f t="shared" ref="L68:M68" si="71">MOD(L65+L66 + IF(M65+M66&gt;M68,1,0),2)</f>
        <v>0</v>
      </c>
      <c r="M68">
        <f t="shared" si="71"/>
        <v>1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72">MOD(Q65+Q66 + IF(R65+R66&gt;R68,1,0),2)</f>
        <v>1</v>
      </c>
      <c r="R68">
        <f t="shared" si="72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3">MOD(V65+V66 + IF(W65+W66&gt;W68,1,0),2)</f>
        <v>1</v>
      </c>
      <c r="W68">
        <f t="shared" si="73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9964</v>
      </c>
      <c r="AB68" s="8" t="s">
        <v>51</v>
      </c>
      <c r="AE68">
        <f>AE66+AE65</f>
        <v>9964</v>
      </c>
      <c r="AG68" s="12"/>
      <c r="AH68" s="12"/>
      <c r="AI68" s="12"/>
      <c r="AJ68" s="12"/>
    </row>
    <row r="70" spans="5:36" x14ac:dyDescent="0.2">
      <c r="G70" s="13" t="s">
        <v>54</v>
      </c>
      <c r="H70" s="13"/>
      <c r="I70">
        <f>IF(G65+G66&gt;G68,1,0)</f>
        <v>1</v>
      </c>
      <c r="J70" s="13" t="s">
        <v>55</v>
      </c>
      <c r="K70" s="13"/>
      <c r="L70">
        <f>ABS(MOD(COUNTIF(Q68:Y68, "1"),2) - 1)</f>
        <v>0</v>
      </c>
      <c r="M70" s="13" t="s">
        <v>56</v>
      </c>
      <c r="N70" s="13"/>
      <c r="O70">
        <f>IF(OR(V65+V66&gt;V68,),1,0)</f>
        <v>0</v>
      </c>
      <c r="P70" s="13" t="s">
        <v>57</v>
      </c>
      <c r="Q70" s="13"/>
      <c r="R70">
        <f>IF(AA68=0,1,0)</f>
        <v>0</v>
      </c>
      <c r="S70" s="13" t="s">
        <v>58</v>
      </c>
      <c r="T70" s="13"/>
      <c r="U70">
        <f>G68</f>
        <v>0</v>
      </c>
      <c r="V70" s="13" t="s">
        <v>59</v>
      </c>
      <c r="W70" s="13"/>
      <c r="X70">
        <f>IF(AA68&lt;&gt;AE68,1,0)</f>
        <v>0</v>
      </c>
    </row>
  </sheetData>
  <mergeCells count="49">
    <mergeCell ref="V22:W22"/>
    <mergeCell ref="G22:H22"/>
    <mergeCell ref="J22:K22"/>
    <mergeCell ref="M22:N22"/>
    <mergeCell ref="P22:Q22"/>
    <mergeCell ref="S22:T22"/>
    <mergeCell ref="V38:W38"/>
    <mergeCell ref="G30:H30"/>
    <mergeCell ref="J30:K30"/>
    <mergeCell ref="M30:N30"/>
    <mergeCell ref="P30:Q30"/>
    <mergeCell ref="S30:T30"/>
    <mergeCell ref="V30:W30"/>
    <mergeCell ref="G38:H38"/>
    <mergeCell ref="J38:K38"/>
    <mergeCell ref="M38:N38"/>
    <mergeCell ref="P38:Q38"/>
    <mergeCell ref="S38:T38"/>
    <mergeCell ref="V54:W54"/>
    <mergeCell ref="G46:H46"/>
    <mergeCell ref="J46:K46"/>
    <mergeCell ref="M46:N46"/>
    <mergeCell ref="P46:Q46"/>
    <mergeCell ref="S46:T46"/>
    <mergeCell ref="V46:W46"/>
    <mergeCell ref="G54:H54"/>
    <mergeCell ref="J54:K54"/>
    <mergeCell ref="M54:N54"/>
    <mergeCell ref="P54:Q54"/>
    <mergeCell ref="S54:T54"/>
    <mergeCell ref="V70:W70"/>
    <mergeCell ref="G62:H62"/>
    <mergeCell ref="J62:K62"/>
    <mergeCell ref="M62:N62"/>
    <mergeCell ref="P62:Q62"/>
    <mergeCell ref="S62:T62"/>
    <mergeCell ref="V62:W62"/>
    <mergeCell ref="G70:H70"/>
    <mergeCell ref="J70:K70"/>
    <mergeCell ref="M70:N70"/>
    <mergeCell ref="P70:Q70"/>
    <mergeCell ref="S70:T70"/>
    <mergeCell ref="AG57:AJ60"/>
    <mergeCell ref="AG65:AJ68"/>
    <mergeCell ref="AG17:AJ20"/>
    <mergeCell ref="AG25:AJ28"/>
    <mergeCell ref="AG33:AJ36"/>
    <mergeCell ref="AG41:AJ44"/>
    <mergeCell ref="AG49:AJ52"/>
  </mergeCells>
  <conditionalFormatting sqref="G4:Y15">
    <cfRule type="containsText" dxfId="10" priority="2" operator="containsText" text="0">
      <formula>NOT(ISERROR(SEARCH("0",G4)))</formula>
    </cfRule>
    <cfRule type="containsText" dxfId="9" priority="1" operator="containsText" text="1">
      <formula>NOT(ISERROR(SEARCH("1",G4)))</formula>
    </cfRule>
  </conditionalFormatting>
  <pageMargins left="0.7" right="0.7" top="0.75" bottom="0.75" header="0.3" footer="0.3"/>
  <pageSetup paperSize="9" orientation="portrait" horizontalDpi="0" verticalDpi="0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  <ignoredErrors>
    <ignoredError sqref="AB20 AF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EB832-10AF-7542-BF37-921D0E08EDCD}">
  <sheetPr codeName="Sheet3"/>
  <dimension ref="A1"/>
  <sheetViews>
    <sheetView zoomScale="177" workbookViewId="0">
      <selection activeCell="I6" sqref="I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C2E9-DA4C-D14F-ABA6-2618FBE06017}">
  <sheetPr codeName="Sheet2"/>
  <dimension ref="A1:AJ70"/>
  <sheetViews>
    <sheetView tabSelected="1" topLeftCell="B1" zoomScale="123" zoomScaleNormal="85" zoomScalePageLayoutView="74" workbookViewId="0">
      <selection activeCell="C7" sqref="C7"/>
    </sheetView>
  </sheetViews>
  <sheetFormatPr baseColWidth="10" defaultRowHeight="16" x14ac:dyDescent="0.2"/>
  <cols>
    <col min="1" max="1" width="5.1640625" bestFit="1" customWidth="1"/>
    <col min="4" max="4" width="11.83203125" bestFit="1" customWidth="1"/>
    <col min="5" max="5" width="5.33203125" bestFit="1" customWidth="1"/>
    <col min="6" max="6" width="5" bestFit="1" customWidth="1"/>
    <col min="7" max="10" width="2.1640625" bestFit="1" customWidth="1"/>
    <col min="11" max="11" width="1.5" customWidth="1"/>
    <col min="12" max="15" width="2.1640625" bestFit="1" customWidth="1"/>
    <col min="16" max="16" width="1.6640625" bestFit="1" customWidth="1"/>
    <col min="17" max="25" width="2.1640625" bestFit="1" customWidth="1"/>
    <col min="26" max="26" width="3.5" bestFit="1" customWidth="1"/>
    <col min="27" max="28" width="6.83203125" bestFit="1" customWidth="1"/>
    <col min="29" max="29" width="2.1640625" bestFit="1" customWidth="1"/>
    <col min="30" max="30" width="6.5" bestFit="1" customWidth="1"/>
    <col min="32" max="32" width="3.1640625" bestFit="1" customWidth="1"/>
  </cols>
  <sheetData>
    <row r="1" spans="1:31" x14ac:dyDescent="0.2">
      <c r="A1" s="11"/>
      <c r="B1" s="1" t="s">
        <v>0</v>
      </c>
      <c r="C1">
        <v>4982</v>
      </c>
    </row>
    <row r="2" spans="1:31" x14ac:dyDescent="0.2">
      <c r="A2" s="11"/>
      <c r="B2" s="1" t="s">
        <v>10</v>
      </c>
      <c r="C2">
        <v>15116</v>
      </c>
    </row>
    <row r="3" spans="1:31" x14ac:dyDescent="0.2">
      <c r="A3" s="11"/>
    </row>
    <row r="4" spans="1:31" x14ac:dyDescent="0.2">
      <c r="A4" s="11" t="s">
        <v>1</v>
      </c>
      <c r="B4" s="1" t="s">
        <v>0</v>
      </c>
      <c r="C4">
        <f>C1</f>
        <v>4982</v>
      </c>
      <c r="E4" t="s">
        <v>23</v>
      </c>
      <c r="G4" s="14">
        <f>IF(LEN(_xlfn.BASE($C4,2))&lt;16,0,LEFT(RIGHT(_xlfn.BASE($C4,2),16)))</f>
        <v>0</v>
      </c>
      <c r="H4" s="14">
        <f>IF(LEN(_xlfn.BASE($C4,2))&lt;15,0,LEFT(RIGHT(_xlfn.BASE($C4,2),15)))</f>
        <v>0</v>
      </c>
      <c r="I4" s="14">
        <f>IF(LEN(_xlfn.BASE($C4,2))&lt;14,0,LEFT(RIGHT(_xlfn.BASE($C4,2),14)))</f>
        <v>0</v>
      </c>
      <c r="J4" s="15" t="str">
        <f>IF(LEN(_xlfn.BASE($C4,2))&lt;13,0,LEFT(RIGHT(_xlfn.BASE($C4,2),13)))</f>
        <v>1</v>
      </c>
      <c r="K4" s="15" t="s">
        <v>41</v>
      </c>
      <c r="L4" s="14" t="str">
        <f>LEFT(RIGHT(_xlfn.BASE($C4,2),12))</f>
        <v>0</v>
      </c>
      <c r="M4" s="14" t="str">
        <f>LEFT(RIGHT(_xlfn.BASE($C4,2),11))</f>
        <v>0</v>
      </c>
      <c r="N4" s="15" t="str">
        <f>LEFT(RIGHT(_xlfn.BASE($C4,2),10))</f>
        <v>1</v>
      </c>
      <c r="O4" s="15" t="str">
        <f>LEFT(RIGHT(_xlfn.BASE($C4,2),9))</f>
        <v>1</v>
      </c>
      <c r="P4" s="15" t="s">
        <v>41</v>
      </c>
      <c r="Q4" s="14" t="str">
        <f>LEFT(RIGHT(_xlfn.BASE($C4,2),8))</f>
        <v>0</v>
      </c>
      <c r="R4" s="15" t="str">
        <f>LEFT(RIGHT(_xlfn.BASE($C4,2),7))</f>
        <v>1</v>
      </c>
      <c r="S4" s="15" t="str">
        <f>LEFT(RIGHT(_xlfn.BASE($C4,2),6))</f>
        <v>1</v>
      </c>
      <c r="T4" s="15" t="str">
        <f>LEFT(RIGHT(_xlfn.BASE($C4,2),5))</f>
        <v>1</v>
      </c>
      <c r="U4" s="15" t="s">
        <v>41</v>
      </c>
      <c r="V4" s="14" t="str">
        <f>LEFT(RIGHT(_xlfn.BASE($C4,2),4))</f>
        <v>0</v>
      </c>
      <c r="W4" s="15" t="str">
        <f>LEFT(RIGHT(_xlfn.BASE($C4,2),3))</f>
        <v>1</v>
      </c>
      <c r="X4" s="15" t="str">
        <f>LEFT(RIGHT(_xlfn.BASE($C4,2),2))</f>
        <v>1</v>
      </c>
      <c r="Y4" s="14" t="str">
        <f>RIGHT(_xlfn.BASE($C4,2),1)</f>
        <v>0</v>
      </c>
      <c r="Z4" s="5"/>
      <c r="AA4" s="9" t="s">
        <v>60</v>
      </c>
      <c r="AB4" s="9"/>
      <c r="AC4" s="9"/>
      <c r="AD4" s="9"/>
    </row>
    <row r="5" spans="1:31" x14ac:dyDescent="0.2">
      <c r="A5" s="11" t="s">
        <v>2</v>
      </c>
      <c r="B5" s="1" t="s">
        <v>10</v>
      </c>
      <c r="C5">
        <f>C2</f>
        <v>15116</v>
      </c>
      <c r="E5" t="s">
        <v>24</v>
      </c>
      <c r="G5" s="14">
        <f t="shared" ref="G5:G9" si="0">IF(LEN(_xlfn.BASE($C5,2))&lt;16,0,LEFT(RIGHT(_xlfn.BASE($C5,2),16)))</f>
        <v>0</v>
      </c>
      <c r="H5" s="14">
        <f t="shared" ref="H5:H9" si="1">IF(LEN(_xlfn.BASE($C5,2))&lt;15,0,LEFT(RIGHT(_xlfn.BASE($C5,2),15)))</f>
        <v>0</v>
      </c>
      <c r="I5" s="15" t="str">
        <f t="shared" ref="I5:I9" si="2">IF(LEN(_xlfn.BASE($C5,2))&lt;14,0,LEFT(RIGHT(_xlfn.BASE($C5,2),14)))</f>
        <v>1</v>
      </c>
      <c r="J5" s="15" t="str">
        <f t="shared" ref="J5:J9" si="3">IF(LEN(_xlfn.BASE($C5,2))&lt;13,0,LEFT(RIGHT(_xlfn.BASE($C5,2),13)))</f>
        <v>1</v>
      </c>
      <c r="K5" s="15" t="s">
        <v>41</v>
      </c>
      <c r="L5" s="15" t="str">
        <f t="shared" ref="L5:L9" si="4">LEFT(RIGHT(_xlfn.BASE($C5,2),12))</f>
        <v>1</v>
      </c>
      <c r="M5" s="14" t="str">
        <f t="shared" ref="M5:M9" si="5">LEFT(RIGHT(_xlfn.BASE($C5,2),11))</f>
        <v>0</v>
      </c>
      <c r="N5" s="15" t="str">
        <f t="shared" ref="N5:N9" si="6">LEFT(RIGHT(_xlfn.BASE($C5,2),10))</f>
        <v>1</v>
      </c>
      <c r="O5" s="15" t="str">
        <f t="shared" ref="O5:O9" si="7">LEFT(RIGHT(_xlfn.BASE($C5,2),9))</f>
        <v>1</v>
      </c>
      <c r="P5" s="15" t="s">
        <v>41</v>
      </c>
      <c r="Q5" s="14" t="str">
        <f t="shared" ref="Q5:Q9" si="8">LEFT(RIGHT(_xlfn.BASE($C5,2),8))</f>
        <v>0</v>
      </c>
      <c r="R5" s="14" t="str">
        <f t="shared" ref="R5:R9" si="9">LEFT(RIGHT(_xlfn.BASE($C5,2),7))</f>
        <v>0</v>
      </c>
      <c r="S5" s="14" t="str">
        <f t="shared" ref="S5:S9" si="10">LEFT(RIGHT(_xlfn.BASE($C5,2),6))</f>
        <v>0</v>
      </c>
      <c r="T5" s="14" t="str">
        <f t="shared" ref="T5:T9" si="11">LEFT(RIGHT(_xlfn.BASE($C5,2),5))</f>
        <v>0</v>
      </c>
      <c r="U5" s="15" t="s">
        <v>41</v>
      </c>
      <c r="V5" s="15" t="str">
        <f>LEFT(RIGHT(_xlfn.BASE($C5,2),4))</f>
        <v>1</v>
      </c>
      <c r="W5" s="15" t="str">
        <f>LEFT(RIGHT(_xlfn.BASE($C5,2),3))</f>
        <v>1</v>
      </c>
      <c r="X5" s="14" t="str">
        <f>LEFT(RIGHT(_xlfn.BASE($C5,2),2))</f>
        <v>0</v>
      </c>
      <c r="Y5" s="14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 x14ac:dyDescent="0.2">
      <c r="A6" s="11" t="s">
        <v>3</v>
      </c>
      <c r="B6" s="1" t="s">
        <v>11</v>
      </c>
      <c r="C6">
        <f>C1+C2</f>
        <v>20098</v>
      </c>
      <c r="E6" t="s">
        <v>25</v>
      </c>
      <c r="G6" s="14">
        <f t="shared" si="0"/>
        <v>0</v>
      </c>
      <c r="H6" s="15" t="str">
        <f t="shared" si="1"/>
        <v>1</v>
      </c>
      <c r="I6" s="14" t="str">
        <f t="shared" si="2"/>
        <v>0</v>
      </c>
      <c r="J6" s="14" t="str">
        <f t="shared" si="3"/>
        <v>0</v>
      </c>
      <c r="K6" s="15" t="s">
        <v>41</v>
      </c>
      <c r="L6" s="15" t="str">
        <f t="shared" si="4"/>
        <v>1</v>
      </c>
      <c r="M6" s="15" t="str">
        <f t="shared" si="5"/>
        <v>1</v>
      </c>
      <c r="N6" s="15" t="str">
        <f t="shared" si="6"/>
        <v>1</v>
      </c>
      <c r="O6" s="14" t="str">
        <f t="shared" si="7"/>
        <v>0</v>
      </c>
      <c r="P6" s="15" t="s">
        <v>41</v>
      </c>
      <c r="Q6" s="15" t="str">
        <f t="shared" si="8"/>
        <v>1</v>
      </c>
      <c r="R6" s="14" t="str">
        <f t="shared" si="9"/>
        <v>0</v>
      </c>
      <c r="S6" s="14" t="str">
        <f t="shared" si="10"/>
        <v>0</v>
      </c>
      <c r="T6" s="14" t="str">
        <f t="shared" si="11"/>
        <v>0</v>
      </c>
      <c r="U6" s="15" t="s">
        <v>41</v>
      </c>
      <c r="V6" s="14" t="str">
        <f t="shared" ref="V6:V9" si="12">LEFT(RIGHT(_xlfn.BASE($C6,2),4))</f>
        <v>0</v>
      </c>
      <c r="W6" s="14" t="str">
        <f t="shared" ref="W6:W9" si="13">LEFT(RIGHT(_xlfn.BASE($C6,2),3))</f>
        <v>0</v>
      </c>
      <c r="X6" s="15" t="str">
        <f t="shared" ref="X6:X9" si="14">LEFT(RIGHT(_xlfn.BASE($C6,2),2))</f>
        <v>1</v>
      </c>
      <c r="Y6" s="14" t="str">
        <f t="shared" ref="Y6:Y9" si="15">RIGHT(_xlfn.BASE($C6,2),1)</f>
        <v>0</v>
      </c>
      <c r="Z6" s="5"/>
    </row>
    <row r="7" spans="1:31" x14ac:dyDescent="0.2">
      <c r="A7" s="11" t="s">
        <v>4</v>
      </c>
      <c r="B7" s="1" t="s">
        <v>12</v>
      </c>
      <c r="C7">
        <f>C1+C2+C2</f>
        <v>35214</v>
      </c>
      <c r="E7" t="s">
        <v>26</v>
      </c>
      <c r="G7" s="15" t="str">
        <f t="shared" si="0"/>
        <v>1</v>
      </c>
      <c r="H7" s="14" t="str">
        <f t="shared" si="1"/>
        <v>0</v>
      </c>
      <c r="I7" s="14" t="str">
        <f t="shared" si="2"/>
        <v>0</v>
      </c>
      <c r="J7" s="14" t="str">
        <f t="shared" si="3"/>
        <v>0</v>
      </c>
      <c r="K7" s="15" t="s">
        <v>41</v>
      </c>
      <c r="L7" s="15" t="str">
        <f t="shared" si="4"/>
        <v>1</v>
      </c>
      <c r="M7" s="14" t="str">
        <f t="shared" si="5"/>
        <v>0</v>
      </c>
      <c r="N7" s="14" t="str">
        <f t="shared" si="6"/>
        <v>0</v>
      </c>
      <c r="O7" s="15" t="str">
        <f t="shared" si="7"/>
        <v>1</v>
      </c>
      <c r="P7" s="15" t="s">
        <v>41</v>
      </c>
      <c r="Q7" s="15" t="str">
        <f t="shared" si="8"/>
        <v>1</v>
      </c>
      <c r="R7" s="14" t="str">
        <f t="shared" si="9"/>
        <v>0</v>
      </c>
      <c r="S7" s="14" t="str">
        <f t="shared" si="10"/>
        <v>0</v>
      </c>
      <c r="T7" s="14" t="str">
        <f t="shared" si="11"/>
        <v>0</v>
      </c>
      <c r="U7" s="15" t="s">
        <v>41</v>
      </c>
      <c r="V7" s="15" t="str">
        <f t="shared" si="12"/>
        <v>1</v>
      </c>
      <c r="W7" s="15" t="str">
        <f t="shared" si="13"/>
        <v>1</v>
      </c>
      <c r="X7" s="15" t="str">
        <f t="shared" si="14"/>
        <v>1</v>
      </c>
      <c r="Y7" s="14" t="str">
        <f t="shared" si="15"/>
        <v>0</v>
      </c>
      <c r="Z7" s="5"/>
    </row>
    <row r="8" spans="1:31" x14ac:dyDescent="0.2">
      <c r="A8" s="11" t="s">
        <v>5</v>
      </c>
      <c r="B8" s="1" t="s">
        <v>13</v>
      </c>
      <c r="C8">
        <f>C2-C1</f>
        <v>10134</v>
      </c>
      <c r="E8" t="s">
        <v>27</v>
      </c>
      <c r="G8" s="14">
        <f t="shared" si="0"/>
        <v>0</v>
      </c>
      <c r="H8" s="14">
        <f t="shared" si="1"/>
        <v>0</v>
      </c>
      <c r="I8" s="15" t="str">
        <f t="shared" si="2"/>
        <v>1</v>
      </c>
      <c r="J8" s="14" t="str">
        <f t="shared" si="3"/>
        <v>0</v>
      </c>
      <c r="K8" s="15" t="s">
        <v>41</v>
      </c>
      <c r="L8" s="14" t="str">
        <f t="shared" si="4"/>
        <v>0</v>
      </c>
      <c r="M8" s="15" t="str">
        <f t="shared" si="5"/>
        <v>1</v>
      </c>
      <c r="N8" s="15" t="str">
        <f t="shared" si="6"/>
        <v>1</v>
      </c>
      <c r="O8" s="15" t="str">
        <f t="shared" si="7"/>
        <v>1</v>
      </c>
      <c r="P8" s="15" t="s">
        <v>41</v>
      </c>
      <c r="Q8" s="15" t="str">
        <f t="shared" si="8"/>
        <v>1</v>
      </c>
      <c r="R8" s="14" t="str">
        <f t="shared" si="9"/>
        <v>0</v>
      </c>
      <c r="S8" s="14" t="str">
        <f t="shared" si="10"/>
        <v>0</v>
      </c>
      <c r="T8" s="15" t="str">
        <f t="shared" si="11"/>
        <v>1</v>
      </c>
      <c r="U8" s="15" t="s">
        <v>41</v>
      </c>
      <c r="V8" s="14" t="str">
        <f t="shared" si="12"/>
        <v>0</v>
      </c>
      <c r="W8" s="15" t="str">
        <f t="shared" si="13"/>
        <v>1</v>
      </c>
      <c r="X8" s="15" t="str">
        <f t="shared" si="14"/>
        <v>1</v>
      </c>
      <c r="Y8" s="14" t="str">
        <f t="shared" si="15"/>
        <v>0</v>
      </c>
      <c r="Z8" s="5"/>
    </row>
    <row r="9" spans="1:31" x14ac:dyDescent="0.2">
      <c r="A9" s="11" t="s">
        <v>6</v>
      </c>
      <c r="B9" s="1" t="s">
        <v>14</v>
      </c>
      <c r="C9">
        <f>65536-C7</f>
        <v>30322</v>
      </c>
      <c r="E9" t="s">
        <v>28</v>
      </c>
      <c r="G9" s="14">
        <f t="shared" si="0"/>
        <v>0</v>
      </c>
      <c r="H9" s="15" t="str">
        <f t="shared" si="1"/>
        <v>1</v>
      </c>
      <c r="I9" s="15" t="str">
        <f t="shared" si="2"/>
        <v>1</v>
      </c>
      <c r="J9" s="15" t="str">
        <f t="shared" si="3"/>
        <v>1</v>
      </c>
      <c r="K9" s="15" t="s">
        <v>41</v>
      </c>
      <c r="L9" s="14" t="str">
        <f t="shared" si="4"/>
        <v>0</v>
      </c>
      <c r="M9" s="15" t="str">
        <f t="shared" si="5"/>
        <v>1</v>
      </c>
      <c r="N9" s="15" t="str">
        <f t="shared" si="6"/>
        <v>1</v>
      </c>
      <c r="O9" s="14" t="str">
        <f t="shared" si="7"/>
        <v>0</v>
      </c>
      <c r="P9" s="15" t="s">
        <v>41</v>
      </c>
      <c r="Q9" s="14" t="str">
        <f t="shared" si="8"/>
        <v>0</v>
      </c>
      <c r="R9" s="15" t="str">
        <f t="shared" si="9"/>
        <v>1</v>
      </c>
      <c r="S9" s="15" t="str">
        <f t="shared" si="10"/>
        <v>1</v>
      </c>
      <c r="T9" s="15" t="str">
        <f t="shared" si="11"/>
        <v>1</v>
      </c>
      <c r="U9" s="15" t="s">
        <v>41</v>
      </c>
      <c r="V9" s="14" t="str">
        <f t="shared" si="12"/>
        <v>0</v>
      </c>
      <c r="W9" s="14" t="str">
        <f t="shared" si="13"/>
        <v>0</v>
      </c>
      <c r="X9" s="15" t="str">
        <f t="shared" si="14"/>
        <v>1</v>
      </c>
      <c r="Y9" s="14" t="str">
        <f t="shared" si="15"/>
        <v>0</v>
      </c>
      <c r="Z9" s="5"/>
    </row>
    <row r="10" spans="1:31" x14ac:dyDescent="0.2">
      <c r="A10" s="11" t="s">
        <v>7</v>
      </c>
      <c r="B10" s="3" t="s">
        <v>15</v>
      </c>
      <c r="C10">
        <f t="shared" ref="C10:C15" si="16">-C4</f>
        <v>-4982</v>
      </c>
      <c r="E10" t="s">
        <v>29</v>
      </c>
      <c r="F10" s="2" t="s">
        <v>35</v>
      </c>
      <c r="G10" s="15" t="str">
        <f>LEFT(RIGHT(IF($C10&lt;0, _xlfn.BASE(2^31+$C10, 2), _xlfn.BASE($C10, 2)),16),1)</f>
        <v>1</v>
      </c>
      <c r="H10" s="15" t="str">
        <f>LEFT(RIGHT(IF($C10&lt;0, _xlfn.BASE(2^31+$C10, 2), _xlfn.BASE($C10, 2)),15),1)</f>
        <v>1</v>
      </c>
      <c r="I10" s="15" t="str">
        <f>LEFT(RIGHT(IF($C10&lt;0, _xlfn.BASE(2^31+$C10, 2), _xlfn.BASE($C10, 2)),14),1)</f>
        <v>1</v>
      </c>
      <c r="J10" s="14" t="str">
        <f>LEFT(RIGHT(IF($C10&lt;0, _xlfn.BASE(2^31+$C10, 2), _xlfn.BASE($C10, 2)),13),1)</f>
        <v>0</v>
      </c>
      <c r="K10" s="15" t="s">
        <v>41</v>
      </c>
      <c r="L10" s="15" t="str">
        <f>LEFT(RIGHT(IF($C10&lt;0, _xlfn.BASE(2^31+$C10, 2), _xlfn.BASE($C10, 2)),12),1)</f>
        <v>1</v>
      </c>
      <c r="M10" s="15" t="str">
        <f>LEFT(RIGHT(IF($C10&lt;0, _xlfn.BASE(2^31+$C10, 2), _xlfn.BASE($C10, 2)),11),1)</f>
        <v>1</v>
      </c>
      <c r="N10" s="14" t="str">
        <f>LEFT(RIGHT(IF($C10&lt;0, _xlfn.BASE(2^31+$C10, 2), _xlfn.BASE($C10, 2)),10),1)</f>
        <v>0</v>
      </c>
      <c r="O10" s="14" t="str">
        <f>LEFT(RIGHT(IF($C10&lt;0, _xlfn.BASE(2^31+$C10, 2), _xlfn.BASE($C10, 2)),9),1)</f>
        <v>0</v>
      </c>
      <c r="P10" s="15" t="s">
        <v>41</v>
      </c>
      <c r="Q10" s="15" t="str">
        <f>LEFT(RIGHT(IF($C10&lt;0, _xlfn.BASE(2^31+$C10, 2), _xlfn.BASE($C10, 2)),8),1)</f>
        <v>1</v>
      </c>
      <c r="R10" s="14" t="str">
        <f>LEFT(RIGHT(IF($C10&lt;0, _xlfn.BASE(2^31+$C10, 2), _xlfn.BASE($C10, 2)),7),1)</f>
        <v>0</v>
      </c>
      <c r="S10" s="14" t="str">
        <f>LEFT(RIGHT(IF($C10&lt;0, _xlfn.BASE(2^31+$C10, 2), _xlfn.BASE($C10, 2)),6),1)</f>
        <v>0</v>
      </c>
      <c r="T10" s="14" t="str">
        <f>LEFT(RIGHT(IF($C10&lt;0, _xlfn.BASE(2^31+$C10, 2), _xlfn.BASE($C10, 2)),5),1)</f>
        <v>0</v>
      </c>
      <c r="U10" s="15" t="s">
        <v>41</v>
      </c>
      <c r="V10" s="15" t="str">
        <f>LEFT(RIGHT(IF($C10&lt;0, _xlfn.BASE(2^31+$C10, 2), _xlfn.BASE($C10, 2)),4),1)</f>
        <v>1</v>
      </c>
      <c r="W10" s="14" t="str">
        <f>LEFT(RIGHT(IF($C10&lt;0, _xlfn.BASE(2^31+$C10, 2), _xlfn.BASE($C10, 2)),3),1)</f>
        <v>0</v>
      </c>
      <c r="X10" s="15" t="str">
        <f>LEFT(RIGHT(IF($C10&lt;0, _xlfn.BASE(2^31+$C10, 2), _xlfn.BASE($C10, 2)),2),1)</f>
        <v>1</v>
      </c>
      <c r="Y10" s="14" t="str">
        <f>RIGHT(IF(C10&lt;0, _xlfn.BASE(2^31+C10, 2), _xlfn.BASE(C10, 2)),1)</f>
        <v>0</v>
      </c>
      <c r="Z10" s="5"/>
    </row>
    <row r="11" spans="1:31" x14ac:dyDescent="0.2">
      <c r="A11" t="s">
        <v>8</v>
      </c>
      <c r="B11" s="3" t="s">
        <v>16</v>
      </c>
      <c r="C11">
        <f t="shared" si="16"/>
        <v>-15116</v>
      </c>
      <c r="E11" t="s">
        <v>30</v>
      </c>
      <c r="F11" s="2" t="s">
        <v>36</v>
      </c>
      <c r="G11" s="15" t="str">
        <f t="shared" ref="G11:G15" si="17">LEFT(RIGHT(IF($C11&lt;0, _xlfn.BASE(2^31+$C11, 2), _xlfn.BASE($C11, 2)),16),1)</f>
        <v>1</v>
      </c>
      <c r="H11" s="15" t="str">
        <f t="shared" ref="H11:H15" si="18">LEFT(RIGHT(IF($C11&lt;0, _xlfn.BASE(2^31+$C11, 2), _xlfn.BASE($C11, 2)),15),1)</f>
        <v>1</v>
      </c>
      <c r="I11" s="14" t="str">
        <f t="shared" ref="I11:I15" si="19">LEFT(RIGHT(IF($C11&lt;0, _xlfn.BASE(2^31+$C11, 2), _xlfn.BASE($C11, 2)),14),1)</f>
        <v>0</v>
      </c>
      <c r="J11" s="14" t="str">
        <f t="shared" ref="J11:J15" si="20">LEFT(RIGHT(IF($C11&lt;0, _xlfn.BASE(2^31+$C11, 2), _xlfn.BASE($C11, 2)),13),1)</f>
        <v>0</v>
      </c>
      <c r="K11" s="15" t="s">
        <v>41</v>
      </c>
      <c r="L11" s="14" t="str">
        <f t="shared" ref="L11:L15" si="21">LEFT(RIGHT(IF($C11&lt;0, _xlfn.BASE(2^31+$C11, 2), _xlfn.BASE($C11, 2)),12),1)</f>
        <v>0</v>
      </c>
      <c r="M11" s="15" t="str">
        <f t="shared" ref="M11:M15" si="22">LEFT(RIGHT(IF($C11&lt;0, _xlfn.BASE(2^31+$C11, 2), _xlfn.BASE($C11, 2)),11),1)</f>
        <v>1</v>
      </c>
      <c r="N11" s="14" t="str">
        <f t="shared" ref="N11:N15" si="23">LEFT(RIGHT(IF($C11&lt;0, _xlfn.BASE(2^31+$C11, 2), _xlfn.BASE($C11, 2)),10),1)</f>
        <v>0</v>
      </c>
      <c r="O11" s="14" t="str">
        <f t="shared" ref="O11:O15" si="24">LEFT(RIGHT(IF($C11&lt;0, _xlfn.BASE(2^31+$C11, 2), _xlfn.BASE($C11, 2)),9),1)</f>
        <v>0</v>
      </c>
      <c r="P11" s="15" t="s">
        <v>41</v>
      </c>
      <c r="Q11" s="15" t="str">
        <f t="shared" ref="Q11:Q15" si="25">LEFT(RIGHT(IF($C11&lt;0, _xlfn.BASE(2^31+$C11, 2), _xlfn.BASE($C11, 2)),8),1)</f>
        <v>1</v>
      </c>
      <c r="R11" s="15" t="str">
        <f t="shared" ref="R11:R15" si="26">LEFT(RIGHT(IF($C11&lt;0, _xlfn.BASE(2^31+$C11, 2), _xlfn.BASE($C11, 2)),7),1)</f>
        <v>1</v>
      </c>
      <c r="S11" s="15" t="str">
        <f t="shared" ref="S11:S15" si="27">LEFT(RIGHT(IF($C11&lt;0, _xlfn.BASE(2^31+$C11, 2), _xlfn.BASE($C11, 2)),6),1)</f>
        <v>1</v>
      </c>
      <c r="T11" s="15" t="str">
        <f t="shared" ref="T11:T15" si="28">LEFT(RIGHT(IF($C11&lt;0, _xlfn.BASE(2^31+$C11, 2), _xlfn.BASE($C11, 2)),5),1)</f>
        <v>1</v>
      </c>
      <c r="U11" s="15" t="s">
        <v>41</v>
      </c>
      <c r="V11" s="14" t="str">
        <f t="shared" ref="V11:V15" si="29">LEFT(RIGHT(IF($C11&lt;0, _xlfn.BASE(2^31+$C11, 2), _xlfn.BASE($C11, 2)),4),1)</f>
        <v>0</v>
      </c>
      <c r="W11" s="15" t="str">
        <f t="shared" ref="W11:W15" si="30">LEFT(RIGHT(IF($C11&lt;0, _xlfn.BASE(2^31+$C11, 2), _xlfn.BASE($C11, 2)),3),1)</f>
        <v>1</v>
      </c>
      <c r="X11" s="14" t="str">
        <f t="shared" ref="X11:X15" si="31">LEFT(RIGHT(IF($C11&lt;0, _xlfn.BASE(2^31+$C11, 2), _xlfn.BASE($C11, 2)),2),1)</f>
        <v>0</v>
      </c>
      <c r="Y11" s="14" t="str">
        <f t="shared" ref="Y11:Y15" si="32">RIGHT(IF(C11&lt;0, _xlfn.BASE(2^31+C11, 2), _xlfn.BASE(C11, 2)),1)</f>
        <v>0</v>
      </c>
      <c r="Z11" s="5"/>
    </row>
    <row r="12" spans="1:31" x14ac:dyDescent="0.2">
      <c r="A12" t="s">
        <v>9</v>
      </c>
      <c r="B12" s="3" t="s">
        <v>17</v>
      </c>
      <c r="C12">
        <f t="shared" si="16"/>
        <v>-20098</v>
      </c>
      <c r="E12" t="s">
        <v>31</v>
      </c>
      <c r="F12" s="2" t="s">
        <v>37</v>
      </c>
      <c r="G12" s="15" t="str">
        <f t="shared" si="17"/>
        <v>1</v>
      </c>
      <c r="H12" s="14" t="str">
        <f t="shared" si="18"/>
        <v>0</v>
      </c>
      <c r="I12" s="15" t="str">
        <f t="shared" si="19"/>
        <v>1</v>
      </c>
      <c r="J12" s="15" t="str">
        <f t="shared" si="20"/>
        <v>1</v>
      </c>
      <c r="K12" s="15" t="s">
        <v>41</v>
      </c>
      <c r="L12" s="14" t="str">
        <f t="shared" si="21"/>
        <v>0</v>
      </c>
      <c r="M12" s="14" t="str">
        <f t="shared" si="22"/>
        <v>0</v>
      </c>
      <c r="N12" s="14" t="str">
        <f t="shared" si="23"/>
        <v>0</v>
      </c>
      <c r="O12" s="15" t="str">
        <f t="shared" si="24"/>
        <v>1</v>
      </c>
      <c r="P12" s="15" t="s">
        <v>41</v>
      </c>
      <c r="Q12" s="14" t="str">
        <f t="shared" si="25"/>
        <v>0</v>
      </c>
      <c r="R12" s="15" t="str">
        <f t="shared" si="26"/>
        <v>1</v>
      </c>
      <c r="S12" s="15" t="str">
        <f t="shared" si="27"/>
        <v>1</v>
      </c>
      <c r="T12" s="15" t="str">
        <f t="shared" si="28"/>
        <v>1</v>
      </c>
      <c r="U12" s="15" t="s">
        <v>41</v>
      </c>
      <c r="V12" s="15" t="str">
        <f t="shared" si="29"/>
        <v>1</v>
      </c>
      <c r="W12" s="15" t="str">
        <f t="shared" si="30"/>
        <v>1</v>
      </c>
      <c r="X12" s="15" t="str">
        <f t="shared" si="31"/>
        <v>1</v>
      </c>
      <c r="Y12" s="14" t="str">
        <f t="shared" si="32"/>
        <v>0</v>
      </c>
      <c r="Z12" s="5"/>
    </row>
    <row r="13" spans="1:31" x14ac:dyDescent="0.2">
      <c r="A13" t="s">
        <v>18</v>
      </c>
      <c r="B13" s="3" t="s">
        <v>21</v>
      </c>
      <c r="C13">
        <f t="shared" si="16"/>
        <v>-35214</v>
      </c>
      <c r="E13" t="s">
        <v>32</v>
      </c>
      <c r="F13" s="2" t="s">
        <v>38</v>
      </c>
      <c r="G13" s="14" t="str">
        <f t="shared" si="17"/>
        <v>0</v>
      </c>
      <c r="H13" s="15" t="str">
        <f t="shared" si="18"/>
        <v>1</v>
      </c>
      <c r="I13" s="15" t="str">
        <f t="shared" si="19"/>
        <v>1</v>
      </c>
      <c r="J13" s="15" t="str">
        <f t="shared" si="20"/>
        <v>1</v>
      </c>
      <c r="K13" s="15" t="s">
        <v>41</v>
      </c>
      <c r="L13" s="14" t="str">
        <f t="shared" si="21"/>
        <v>0</v>
      </c>
      <c r="M13" s="15" t="str">
        <f t="shared" si="22"/>
        <v>1</v>
      </c>
      <c r="N13" s="15" t="str">
        <f t="shared" si="23"/>
        <v>1</v>
      </c>
      <c r="O13" s="14" t="str">
        <f t="shared" si="24"/>
        <v>0</v>
      </c>
      <c r="P13" s="15" t="s">
        <v>41</v>
      </c>
      <c r="Q13" s="14" t="str">
        <f t="shared" si="25"/>
        <v>0</v>
      </c>
      <c r="R13" s="15" t="str">
        <f t="shared" si="26"/>
        <v>1</v>
      </c>
      <c r="S13" s="15" t="str">
        <f t="shared" si="27"/>
        <v>1</v>
      </c>
      <c r="T13" s="15" t="str">
        <f t="shared" si="28"/>
        <v>1</v>
      </c>
      <c r="U13" s="15" t="s">
        <v>41</v>
      </c>
      <c r="V13" s="14" t="str">
        <f t="shared" si="29"/>
        <v>0</v>
      </c>
      <c r="W13" s="14" t="str">
        <f t="shared" si="30"/>
        <v>0</v>
      </c>
      <c r="X13" s="15" t="str">
        <f t="shared" si="31"/>
        <v>1</v>
      </c>
      <c r="Y13" s="14" t="str">
        <f t="shared" si="32"/>
        <v>0</v>
      </c>
      <c r="Z13" s="5"/>
    </row>
    <row r="14" spans="1:31" x14ac:dyDescent="0.2">
      <c r="A14" t="s">
        <v>19</v>
      </c>
      <c r="B14" s="3" t="s">
        <v>22</v>
      </c>
      <c r="C14">
        <f t="shared" si="16"/>
        <v>-10134</v>
      </c>
      <c r="E14" t="s">
        <v>33</v>
      </c>
      <c r="F14" s="2" t="s">
        <v>39</v>
      </c>
      <c r="G14" s="15" t="str">
        <f t="shared" si="17"/>
        <v>1</v>
      </c>
      <c r="H14" s="15" t="str">
        <f t="shared" si="18"/>
        <v>1</v>
      </c>
      <c r="I14" s="14" t="str">
        <f t="shared" si="19"/>
        <v>0</v>
      </c>
      <c r="J14" s="15" t="str">
        <f t="shared" si="20"/>
        <v>1</v>
      </c>
      <c r="K14" s="15" t="s">
        <v>41</v>
      </c>
      <c r="L14" s="15" t="str">
        <f t="shared" si="21"/>
        <v>1</v>
      </c>
      <c r="M14" s="14" t="str">
        <f t="shared" si="22"/>
        <v>0</v>
      </c>
      <c r="N14" s="14" t="str">
        <f t="shared" si="23"/>
        <v>0</v>
      </c>
      <c r="O14" s="14" t="str">
        <f t="shared" si="24"/>
        <v>0</v>
      </c>
      <c r="P14" s="15" t="s">
        <v>41</v>
      </c>
      <c r="Q14" s="14" t="str">
        <f t="shared" si="25"/>
        <v>0</v>
      </c>
      <c r="R14" s="15" t="str">
        <f t="shared" si="26"/>
        <v>1</v>
      </c>
      <c r="S14" s="15" t="str">
        <f t="shared" si="27"/>
        <v>1</v>
      </c>
      <c r="T14" s="14" t="str">
        <f t="shared" si="28"/>
        <v>0</v>
      </c>
      <c r="U14" s="15" t="s">
        <v>41</v>
      </c>
      <c r="V14" s="15" t="str">
        <f t="shared" si="29"/>
        <v>1</v>
      </c>
      <c r="W14" s="14" t="str">
        <f t="shared" si="30"/>
        <v>0</v>
      </c>
      <c r="X14" s="15" t="str">
        <f t="shared" si="31"/>
        <v>1</v>
      </c>
      <c r="Y14" s="14" t="str">
        <f t="shared" si="32"/>
        <v>0</v>
      </c>
      <c r="Z14" s="5"/>
    </row>
    <row r="15" spans="1:31" x14ac:dyDescent="0.2">
      <c r="A15" t="s">
        <v>20</v>
      </c>
      <c r="B15" s="3" t="s">
        <v>6</v>
      </c>
      <c r="C15">
        <f>-C9</f>
        <v>-30322</v>
      </c>
      <c r="E15" t="s">
        <v>34</v>
      </c>
      <c r="F15" s="2" t="s">
        <v>40</v>
      </c>
      <c r="G15" s="15" t="str">
        <f t="shared" si="17"/>
        <v>1</v>
      </c>
      <c r="H15" s="14" t="str">
        <f t="shared" si="18"/>
        <v>0</v>
      </c>
      <c r="I15" s="14" t="str">
        <f t="shared" si="19"/>
        <v>0</v>
      </c>
      <c r="J15" s="14" t="str">
        <f t="shared" si="20"/>
        <v>0</v>
      </c>
      <c r="K15" s="15" t="s">
        <v>41</v>
      </c>
      <c r="L15" s="15" t="str">
        <f t="shared" si="21"/>
        <v>1</v>
      </c>
      <c r="M15" s="14" t="str">
        <f t="shared" si="22"/>
        <v>0</v>
      </c>
      <c r="N15" s="14" t="str">
        <f t="shared" si="23"/>
        <v>0</v>
      </c>
      <c r="O15" s="15" t="str">
        <f t="shared" si="24"/>
        <v>1</v>
      </c>
      <c r="P15" s="15" t="s">
        <v>41</v>
      </c>
      <c r="Q15" s="15" t="str">
        <f t="shared" si="25"/>
        <v>1</v>
      </c>
      <c r="R15" s="14" t="str">
        <f t="shared" si="26"/>
        <v>0</v>
      </c>
      <c r="S15" s="14" t="str">
        <f t="shared" si="27"/>
        <v>0</v>
      </c>
      <c r="T15" s="14" t="str">
        <f t="shared" si="28"/>
        <v>0</v>
      </c>
      <c r="U15" s="15" t="s">
        <v>41</v>
      </c>
      <c r="V15" s="15" t="str">
        <f t="shared" si="29"/>
        <v>1</v>
      </c>
      <c r="W15" s="15" t="str">
        <f t="shared" si="30"/>
        <v>1</v>
      </c>
      <c r="X15" s="15" t="str">
        <f t="shared" si="31"/>
        <v>1</v>
      </c>
      <c r="Y15" s="14" t="str">
        <f t="shared" si="32"/>
        <v>0</v>
      </c>
      <c r="Z15" s="5"/>
    </row>
    <row r="17" spans="5:36" ht="18" customHeight="1" x14ac:dyDescent="0.25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0</v>
      </c>
      <c r="M17" s="4" t="str">
        <f t="shared" si="33"/>
        <v>0</v>
      </c>
      <c r="N17" s="4" t="str">
        <f t="shared" si="33"/>
        <v>1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4982</v>
      </c>
      <c r="AG17" s="12" t="s">
        <v>80</v>
      </c>
      <c r="AH17" s="12"/>
      <c r="AI17" s="12"/>
      <c r="AJ17" s="12"/>
    </row>
    <row r="18" spans="5:36" ht="18" x14ac:dyDescent="0.25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1</v>
      </c>
      <c r="M18" s="4" t="str">
        <f t="shared" si="33"/>
        <v>0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0</v>
      </c>
      <c r="S18" s="4" t="str">
        <f t="shared" si="33"/>
        <v>0</v>
      </c>
      <c r="T18" s="4" t="str">
        <f t="shared" si="33"/>
        <v>0</v>
      </c>
      <c r="U18" s="4" t="str">
        <f t="shared" si="33"/>
        <v>.</v>
      </c>
      <c r="V18" s="4" t="str">
        <f t="shared" si="33"/>
        <v>1</v>
      </c>
      <c r="W18" s="4" t="str">
        <f t="shared" si="33"/>
        <v>1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15116</v>
      </c>
      <c r="AG18" s="12"/>
      <c r="AH18" s="12"/>
      <c r="AI18" s="12"/>
      <c r="AJ18" s="12"/>
    </row>
    <row r="19" spans="5:36" x14ac:dyDescent="0.2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2"/>
      <c r="AH19" s="12"/>
      <c r="AI19" s="12"/>
      <c r="AJ19" s="12"/>
    </row>
    <row r="20" spans="5:36" ht="18" x14ac:dyDescent="0.25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0</v>
      </c>
      <c r="K20" t="s">
        <v>41</v>
      </c>
      <c r="L20">
        <f t="shared" ref="L20:M20" si="35">MOD(L17+L18 + IF(M17+M18&gt;M20,1,0),2)</f>
        <v>1</v>
      </c>
      <c r="M20">
        <f t="shared" si="35"/>
        <v>1</v>
      </c>
      <c r="N20">
        <f>MOD(N17+N18 + IF(O17+O18&gt;O20,1,0),2)</f>
        <v>1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0</v>
      </c>
      <c r="S20">
        <f>MOD(S17+S18 + IF(T17+T18&gt;T20,1,0),2)</f>
        <v>0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0</v>
      </c>
      <c r="W20">
        <f t="shared" si="37"/>
        <v>0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+H20*2^14,0)</f>
        <v>20098</v>
      </c>
      <c r="AB20" s="8" t="s">
        <v>51</v>
      </c>
      <c r="AE20">
        <f>AE18+AE17</f>
        <v>20098</v>
      </c>
      <c r="AF20" s="8" t="s">
        <v>51</v>
      </c>
      <c r="AG20" s="12"/>
      <c r="AH20" s="12"/>
      <c r="AI20" s="12"/>
      <c r="AJ20" s="12"/>
    </row>
    <row r="22" spans="5:36" x14ac:dyDescent="0.2">
      <c r="G22" s="13" t="s">
        <v>54</v>
      </c>
      <c r="H22" s="13"/>
      <c r="I22">
        <f>IF(G17+G18&gt;G20,1,0)</f>
        <v>0</v>
      </c>
      <c r="J22" s="13" t="s">
        <v>55</v>
      </c>
      <c r="K22" s="13"/>
      <c r="L22">
        <f>ABS(MOD(COUNTIF(Q20:Y20, "1"),2) - 1)</f>
        <v>1</v>
      </c>
      <c r="M22" s="13" t="s">
        <v>56</v>
      </c>
      <c r="N22" s="13"/>
      <c r="O22">
        <f>IF(OR(V17+V18&gt;V20,),1,0)</f>
        <v>1</v>
      </c>
      <c r="P22" s="13" t="s">
        <v>57</v>
      </c>
      <c r="Q22" s="13"/>
      <c r="R22">
        <f>IF(AA20=0,1,0)</f>
        <v>0</v>
      </c>
      <c r="S22" s="13" t="s">
        <v>58</v>
      </c>
      <c r="T22" s="13"/>
      <c r="U22">
        <f>G20</f>
        <v>0</v>
      </c>
      <c r="V22" s="13" t="s">
        <v>59</v>
      </c>
      <c r="W22" s="13"/>
      <c r="X22">
        <f>IF(AA20&lt;&gt;AE20,1,0)</f>
        <v>0</v>
      </c>
    </row>
    <row r="25" spans="5:36" ht="18" x14ac:dyDescent="0.25">
      <c r="F25" t="s">
        <v>64</v>
      </c>
      <c r="G25" s="4">
        <f t="shared" ref="G25:X26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1</v>
      </c>
      <c r="M25" s="4" t="str">
        <f t="shared" si="38"/>
        <v>0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0</v>
      </c>
      <c r="S25" s="4" t="str">
        <f t="shared" si="38"/>
        <v>0</v>
      </c>
      <c r="T25" s="4" t="str">
        <f t="shared" si="38"/>
        <v>0</v>
      </c>
      <c r="U25" s="4" t="str">
        <f t="shared" si="38"/>
        <v>.</v>
      </c>
      <c r="V25" s="4" t="str">
        <f t="shared" si="38"/>
        <v>1</v>
      </c>
      <c r="W25" s="4" t="str">
        <f t="shared" si="38"/>
        <v>1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15116</v>
      </c>
      <c r="AG25" s="12" t="s">
        <v>81</v>
      </c>
      <c r="AH25" s="12"/>
      <c r="AI25" s="12"/>
      <c r="AJ25" s="12"/>
    </row>
    <row r="26" spans="5:36" ht="18" x14ac:dyDescent="0.25">
      <c r="E26" t="s">
        <v>42</v>
      </c>
      <c r="F26" s="7" t="s">
        <v>65</v>
      </c>
      <c r="G26" s="4">
        <f t="shared" si="38"/>
        <v>0</v>
      </c>
      <c r="H26" s="4" t="str">
        <f t="shared" si="38"/>
        <v>1</v>
      </c>
      <c r="I26" s="4" t="str">
        <f t="shared" si="38"/>
        <v>0</v>
      </c>
      <c r="J26" s="4" t="str">
        <f t="shared" si="38"/>
        <v>0</v>
      </c>
      <c r="K26" s="4" t="str">
        <f t="shared" si="38"/>
        <v>.</v>
      </c>
      <c r="L26" s="4" t="str">
        <f t="shared" si="38"/>
        <v>1</v>
      </c>
      <c r="M26" s="4" t="str">
        <f t="shared" si="38"/>
        <v>1</v>
      </c>
      <c r="N26" s="4" t="str">
        <f t="shared" si="38"/>
        <v>1</v>
      </c>
      <c r="O26" s="4" t="str">
        <f t="shared" si="38"/>
        <v>0</v>
      </c>
      <c r="P26" s="4" t="str">
        <f t="shared" si="38"/>
        <v>.</v>
      </c>
      <c r="Q26" s="4" t="str">
        <f t="shared" si="38"/>
        <v>1</v>
      </c>
      <c r="R26" s="4" t="str">
        <f t="shared" si="38"/>
        <v>0</v>
      </c>
      <c r="S26" s="4" t="str">
        <f t="shared" si="38"/>
        <v>0</v>
      </c>
      <c r="T26" s="4" t="str">
        <f t="shared" si="38"/>
        <v>0</v>
      </c>
      <c r="U26" s="4" t="str">
        <f t="shared" si="38"/>
        <v>.</v>
      </c>
      <c r="V26" s="4" t="str">
        <f t="shared" si="38"/>
        <v>0</v>
      </c>
      <c r="W26" s="4" t="str">
        <f t="shared" si="38"/>
        <v>0</v>
      </c>
      <c r="X26" s="4" t="str">
        <f t="shared" si="38"/>
        <v>1</v>
      </c>
      <c r="Y26" s="4" t="str">
        <f>Y6</f>
        <v>0</v>
      </c>
      <c r="AD26" s="3" t="s">
        <v>67</v>
      </c>
      <c r="AE26" s="4">
        <f>C6</f>
        <v>20098</v>
      </c>
      <c r="AG26" s="12"/>
      <c r="AH26" s="12"/>
      <c r="AI26" s="12"/>
      <c r="AJ26" s="12"/>
    </row>
    <row r="27" spans="5:36" x14ac:dyDescent="0.2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2"/>
      <c r="AH27" s="12"/>
      <c r="AI27" s="12"/>
      <c r="AJ27" s="12"/>
    </row>
    <row r="28" spans="5:36" ht="18" x14ac:dyDescent="0.25">
      <c r="G28">
        <f t="shared" ref="G28:H28" si="39">MOD(G25+G26 + IF(H25+H26&gt;H28,1,0),2)</f>
        <v>1</v>
      </c>
      <c r="H28">
        <f t="shared" si="39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0">MOD(L25+L26 + IF(M25+M26&gt;M28,1,0),2)</f>
        <v>1</v>
      </c>
      <c r="M28">
        <f t="shared" si="40"/>
        <v>0</v>
      </c>
      <c r="N28">
        <f>MOD(N25+N26 + IF(O25+O26&gt;O28,1,0),2)</f>
        <v>0</v>
      </c>
      <c r="O28">
        <f>MOD(O25+O26 + IF(Q25+Q26&gt;Q28,1,0),2)</f>
        <v>1</v>
      </c>
      <c r="P28" t="s">
        <v>41</v>
      </c>
      <c r="Q28">
        <f t="shared" ref="Q28:R28" si="41">MOD(Q25+Q26 + IF(R25+R26&gt;R28,1,0),2)</f>
        <v>1</v>
      </c>
      <c r="R28">
        <f t="shared" si="41"/>
        <v>0</v>
      </c>
      <c r="S28">
        <f>MOD(S25+S26 + IF(T25+T26&gt;T28,1,0),2)</f>
        <v>0</v>
      </c>
      <c r="T28">
        <f>MOD(T25+T26 + IF(V25+V26&gt;V28,1,0),2)</f>
        <v>0</v>
      </c>
      <c r="U28" t="s">
        <v>41</v>
      </c>
      <c r="V28">
        <f t="shared" ref="V28:W28" si="42">MOD(V25+V26 + IF(W25+W26&gt;W28,1,0),2)</f>
        <v>1</v>
      </c>
      <c r="W28">
        <f t="shared" si="42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-30322</v>
      </c>
      <c r="AB28" s="8" t="s">
        <v>51</v>
      </c>
      <c r="AE28">
        <f>AE26+AE25</f>
        <v>35214</v>
      </c>
      <c r="AG28" s="12"/>
      <c r="AH28" s="12"/>
      <c r="AI28" s="12"/>
      <c r="AJ28" s="12"/>
    </row>
    <row r="30" spans="5:36" x14ac:dyDescent="0.2">
      <c r="G30" s="13" t="s">
        <v>54</v>
      </c>
      <c r="H30" s="13"/>
      <c r="I30">
        <f>IF(G25+G26&gt;G28,1,0)</f>
        <v>0</v>
      </c>
      <c r="J30" s="13" t="s">
        <v>55</v>
      </c>
      <c r="K30" s="13"/>
      <c r="L30">
        <f>ABS(MOD(COUNTIF(Q28:Y28, "1"),2) - 1)</f>
        <v>1</v>
      </c>
      <c r="M30" s="13" t="s">
        <v>56</v>
      </c>
      <c r="N30" s="13"/>
      <c r="O30">
        <f>IF(OR(V25+V26&gt;V28,),1,0)</f>
        <v>0</v>
      </c>
      <c r="P30" s="13" t="s">
        <v>57</v>
      </c>
      <c r="Q30" s="13"/>
      <c r="R30">
        <f>IF(AA28=0,1,0)</f>
        <v>0</v>
      </c>
      <c r="S30" s="13" t="s">
        <v>58</v>
      </c>
      <c r="T30" s="13"/>
      <c r="U30">
        <f>G28</f>
        <v>1</v>
      </c>
      <c r="V30" s="13" t="s">
        <v>59</v>
      </c>
      <c r="W30" s="13"/>
      <c r="X30">
        <f>IF(AA28&lt;&gt;AE28,1,0)</f>
        <v>1</v>
      </c>
    </row>
    <row r="33" spans="5:36" ht="18" x14ac:dyDescent="0.25">
      <c r="F33" t="s">
        <v>64</v>
      </c>
      <c r="G33" s="4">
        <f t="shared" ref="G33:X33" si="43">G5</f>
        <v>0</v>
      </c>
      <c r="H33" s="4">
        <f t="shared" si="43"/>
        <v>0</v>
      </c>
      <c r="I33" s="4" t="str">
        <f t="shared" si="43"/>
        <v>1</v>
      </c>
      <c r="J33" s="4" t="str">
        <f t="shared" si="43"/>
        <v>1</v>
      </c>
      <c r="K33" s="4" t="str">
        <f t="shared" si="43"/>
        <v>.</v>
      </c>
      <c r="L33" s="4" t="str">
        <f t="shared" si="43"/>
        <v>1</v>
      </c>
      <c r="M33" s="4" t="str">
        <f t="shared" si="43"/>
        <v>0</v>
      </c>
      <c r="N33" s="4" t="str">
        <f t="shared" si="43"/>
        <v>1</v>
      </c>
      <c r="O33" s="4" t="str">
        <f t="shared" si="43"/>
        <v>1</v>
      </c>
      <c r="P33" s="4" t="str">
        <f t="shared" si="43"/>
        <v>.</v>
      </c>
      <c r="Q33" s="4" t="str">
        <f t="shared" si="43"/>
        <v>0</v>
      </c>
      <c r="R33" s="4" t="str">
        <f t="shared" si="43"/>
        <v>0</v>
      </c>
      <c r="S33" s="4" t="str">
        <f t="shared" si="43"/>
        <v>0</v>
      </c>
      <c r="T33" s="4" t="str">
        <f t="shared" si="43"/>
        <v>0</v>
      </c>
      <c r="U33" s="4" t="str">
        <f t="shared" si="43"/>
        <v>.</v>
      </c>
      <c r="V33" s="4" t="str">
        <f t="shared" si="43"/>
        <v>1</v>
      </c>
      <c r="W33" s="4" t="str">
        <f t="shared" si="43"/>
        <v>1</v>
      </c>
      <c r="X33" s="4" t="str">
        <f t="shared" si="43"/>
        <v>0</v>
      </c>
      <c r="Y33" s="4" t="str">
        <f>Y5</f>
        <v>0</v>
      </c>
      <c r="AD33" s="3" t="s">
        <v>66</v>
      </c>
      <c r="AE33" s="4">
        <f>C5</f>
        <v>15116</v>
      </c>
      <c r="AG33" s="12" t="s">
        <v>82</v>
      </c>
      <c r="AH33" s="12"/>
      <c r="AI33" s="12"/>
      <c r="AJ33" s="12"/>
    </row>
    <row r="34" spans="5:36" ht="18" x14ac:dyDescent="0.25">
      <c r="E34" t="s">
        <v>42</v>
      </c>
      <c r="F34" s="7" t="s">
        <v>68</v>
      </c>
      <c r="G34" s="4" t="str">
        <f t="shared" ref="G34:X34" si="44">G10</f>
        <v>1</v>
      </c>
      <c r="H34" s="4" t="str">
        <f t="shared" si="44"/>
        <v>1</v>
      </c>
      <c r="I34" s="4" t="str">
        <f t="shared" si="44"/>
        <v>1</v>
      </c>
      <c r="J34" s="4" t="str">
        <f t="shared" si="44"/>
        <v>0</v>
      </c>
      <c r="K34" s="4" t="str">
        <f t="shared" si="44"/>
        <v>.</v>
      </c>
      <c r="L34" s="4" t="str">
        <f t="shared" si="44"/>
        <v>1</v>
      </c>
      <c r="M34" s="4" t="str">
        <f t="shared" si="44"/>
        <v>1</v>
      </c>
      <c r="N34" s="4" t="str">
        <f t="shared" si="44"/>
        <v>0</v>
      </c>
      <c r="O34" s="4" t="str">
        <f t="shared" si="44"/>
        <v>0</v>
      </c>
      <c r="P34" s="4" t="str">
        <f t="shared" si="44"/>
        <v>.</v>
      </c>
      <c r="Q34" s="4" t="str">
        <f t="shared" si="44"/>
        <v>1</v>
      </c>
      <c r="R34" s="4" t="str">
        <f t="shared" si="44"/>
        <v>0</v>
      </c>
      <c r="S34" s="4" t="str">
        <f t="shared" si="44"/>
        <v>0</v>
      </c>
      <c r="T34" s="4" t="str">
        <f t="shared" si="44"/>
        <v>0</v>
      </c>
      <c r="U34" s="4" t="str">
        <f t="shared" si="44"/>
        <v>.</v>
      </c>
      <c r="V34" s="4" t="str">
        <f t="shared" si="44"/>
        <v>1</v>
      </c>
      <c r="W34" s="4" t="str">
        <f t="shared" si="44"/>
        <v>0</v>
      </c>
      <c r="X34" s="4" t="str">
        <f t="shared" si="44"/>
        <v>1</v>
      </c>
      <c r="Y34" s="4" t="str">
        <f>Y10</f>
        <v>0</v>
      </c>
      <c r="AD34" s="3" t="s">
        <v>69</v>
      </c>
      <c r="AE34" s="4">
        <f>C10</f>
        <v>-4982</v>
      </c>
      <c r="AG34" s="12"/>
      <c r="AH34" s="12"/>
      <c r="AI34" s="12"/>
      <c r="AJ34" s="12"/>
    </row>
    <row r="35" spans="5:36" x14ac:dyDescent="0.2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2"/>
      <c r="AH35" s="12"/>
      <c r="AI35" s="12"/>
      <c r="AJ35" s="12"/>
    </row>
    <row r="36" spans="5:36" ht="18" x14ac:dyDescent="0.25">
      <c r="G36">
        <f t="shared" ref="G36:H36" si="45">MOD(G33+G34 + IF(H33+H34&gt;H36,1,0),2)</f>
        <v>0</v>
      </c>
      <c r="H36">
        <f t="shared" si="45"/>
        <v>0</v>
      </c>
      <c r="I36">
        <f>MOD(I33+I34 + IF(J33+J34&gt;J36,1,0),2)</f>
        <v>1</v>
      </c>
      <c r="J36">
        <f>MOD(J33+J34 + IF(L33+L34&gt;L36,1,0),2)</f>
        <v>0</v>
      </c>
      <c r="K36" t="s">
        <v>41</v>
      </c>
      <c r="L36">
        <f t="shared" ref="L36:M36" si="46">MOD(L33+L34 + IF(M33+M34&gt;M36,1,0),2)</f>
        <v>0</v>
      </c>
      <c r="M36">
        <f t="shared" si="46"/>
        <v>1</v>
      </c>
      <c r="N36">
        <f>MOD(N33+N34 + IF(O33+O34&gt;O36,1,0),2)</f>
        <v>1</v>
      </c>
      <c r="O36">
        <f>MOD(O33+O34 + IF(Q33+Q34&gt;Q36,1,0),2)</f>
        <v>1</v>
      </c>
      <c r="P36" t="s">
        <v>41</v>
      </c>
      <c r="Q36">
        <f t="shared" ref="Q36:R36" si="47">MOD(Q33+Q34 + IF(R33+R34&gt;R36,1,0),2)</f>
        <v>1</v>
      </c>
      <c r="R36">
        <f t="shared" si="47"/>
        <v>0</v>
      </c>
      <c r="S36">
        <f>MOD(S33+S34 + IF(T33+T34&gt;T36,1,0),2)</f>
        <v>0</v>
      </c>
      <c r="T36">
        <f>MOD(T33+T34 + IF(V33+V34&gt;V36,1,0),2)</f>
        <v>1</v>
      </c>
      <c r="U36" t="s">
        <v>41</v>
      </c>
      <c r="V36">
        <f t="shared" ref="V36:W36" si="48">MOD(V33+V34 + IF(W33+W34&gt;W36,1,0),2)</f>
        <v>0</v>
      </c>
      <c r="W36">
        <f t="shared" si="48"/>
        <v>1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10134</v>
      </c>
      <c r="AB36" s="8" t="s">
        <v>51</v>
      </c>
      <c r="AE36">
        <f>AE34+AE33</f>
        <v>10134</v>
      </c>
      <c r="AG36" s="12"/>
      <c r="AH36" s="12"/>
      <c r="AI36" s="12"/>
      <c r="AJ36" s="12"/>
    </row>
    <row r="38" spans="5:36" x14ac:dyDescent="0.2">
      <c r="G38" s="13" t="s">
        <v>54</v>
      </c>
      <c r="H38" s="13"/>
      <c r="I38">
        <f>IF(G33+G34&gt;G36,1,0)</f>
        <v>1</v>
      </c>
      <c r="J38" s="13" t="s">
        <v>55</v>
      </c>
      <c r="K38" s="13"/>
      <c r="L38">
        <f>ABS(MOD(COUNTIF(Q36:Y36, "1"),2) - 1)</f>
        <v>1</v>
      </c>
      <c r="M38" s="13" t="s">
        <v>56</v>
      </c>
      <c r="N38" s="13"/>
      <c r="O38">
        <f>IF(OR(V33+V34&gt;V36,),1,0)</f>
        <v>1</v>
      </c>
      <c r="P38" s="13" t="s">
        <v>57</v>
      </c>
      <c r="Q38" s="13"/>
      <c r="R38">
        <f>IF(AA36=0,1,0)</f>
        <v>0</v>
      </c>
      <c r="S38" s="13" t="s">
        <v>58</v>
      </c>
      <c r="T38" s="13"/>
      <c r="U38">
        <f>G36</f>
        <v>0</v>
      </c>
      <c r="V38" s="13" t="s">
        <v>59</v>
      </c>
      <c r="W38" s="13"/>
      <c r="X38">
        <f>IF(AA36&lt;&gt;AE36,1,0)</f>
        <v>0</v>
      </c>
    </row>
    <row r="41" spans="5:36" ht="18" x14ac:dyDescent="0.25">
      <c r="F41" t="s">
        <v>70</v>
      </c>
      <c r="G41" s="4" t="str">
        <f t="shared" ref="G41:X42" si="49">G10</f>
        <v>1</v>
      </c>
      <c r="H41" s="4" t="str">
        <f t="shared" si="49"/>
        <v>1</v>
      </c>
      <c r="I41" s="4" t="str">
        <f t="shared" si="49"/>
        <v>1</v>
      </c>
      <c r="J41" s="4" t="str">
        <f t="shared" si="49"/>
        <v>0</v>
      </c>
      <c r="K41" s="4" t="str">
        <f t="shared" si="49"/>
        <v>.</v>
      </c>
      <c r="L41" s="4" t="str">
        <f t="shared" si="49"/>
        <v>1</v>
      </c>
      <c r="M41" s="4" t="str">
        <f t="shared" si="49"/>
        <v>1</v>
      </c>
      <c r="N41" s="4" t="str">
        <f t="shared" si="49"/>
        <v>0</v>
      </c>
      <c r="O41" s="4" t="str">
        <f t="shared" si="49"/>
        <v>0</v>
      </c>
      <c r="P41" s="4" t="str">
        <f t="shared" si="49"/>
        <v>.</v>
      </c>
      <c r="Q41" s="4" t="str">
        <f t="shared" si="49"/>
        <v>1</v>
      </c>
      <c r="R41" s="4" t="str">
        <f t="shared" si="49"/>
        <v>0</v>
      </c>
      <c r="S41" s="4" t="str">
        <f t="shared" si="49"/>
        <v>0</v>
      </c>
      <c r="T41" s="4" t="str">
        <f t="shared" si="49"/>
        <v>0</v>
      </c>
      <c r="U41" s="4" t="str">
        <f t="shared" si="49"/>
        <v>.</v>
      </c>
      <c r="V41" s="4" t="str">
        <f t="shared" si="49"/>
        <v>1</v>
      </c>
      <c r="W41" s="4" t="str">
        <f t="shared" si="49"/>
        <v>0</v>
      </c>
      <c r="X41" s="4" t="str">
        <f t="shared" si="49"/>
        <v>1</v>
      </c>
      <c r="Y41" s="4" t="str">
        <f>Y10</f>
        <v>0</v>
      </c>
      <c r="AD41" s="3" t="s">
        <v>72</v>
      </c>
      <c r="AE41" s="4">
        <f>C10</f>
        <v>-4982</v>
      </c>
      <c r="AG41" s="12" t="s">
        <v>83</v>
      </c>
      <c r="AH41" s="12"/>
      <c r="AI41" s="12"/>
      <c r="AJ41" s="12"/>
    </row>
    <row r="42" spans="5:36" ht="18" x14ac:dyDescent="0.25">
      <c r="E42" t="s">
        <v>42</v>
      </c>
      <c r="F42" s="7" t="s">
        <v>71</v>
      </c>
      <c r="G42" s="4" t="str">
        <f t="shared" si="49"/>
        <v>1</v>
      </c>
      <c r="H42" s="4" t="str">
        <f t="shared" si="49"/>
        <v>1</v>
      </c>
      <c r="I42" s="4" t="str">
        <f t="shared" si="49"/>
        <v>0</v>
      </c>
      <c r="J42" s="4" t="str">
        <f t="shared" si="49"/>
        <v>0</v>
      </c>
      <c r="K42" s="4" t="str">
        <f t="shared" si="49"/>
        <v>.</v>
      </c>
      <c r="L42" s="4" t="str">
        <f t="shared" si="49"/>
        <v>0</v>
      </c>
      <c r="M42" s="4" t="str">
        <f t="shared" si="49"/>
        <v>1</v>
      </c>
      <c r="N42" s="4" t="str">
        <f t="shared" si="49"/>
        <v>0</v>
      </c>
      <c r="O42" s="4" t="str">
        <f t="shared" si="49"/>
        <v>0</v>
      </c>
      <c r="P42" s="4" t="str">
        <f t="shared" si="49"/>
        <v>.</v>
      </c>
      <c r="Q42" s="4" t="str">
        <f t="shared" si="49"/>
        <v>1</v>
      </c>
      <c r="R42" s="4" t="str">
        <f t="shared" si="49"/>
        <v>1</v>
      </c>
      <c r="S42" s="4" t="str">
        <f t="shared" si="49"/>
        <v>1</v>
      </c>
      <c r="T42" s="4" t="str">
        <f t="shared" si="49"/>
        <v>1</v>
      </c>
      <c r="U42" s="4" t="str">
        <f t="shared" si="49"/>
        <v>.</v>
      </c>
      <c r="V42" s="4" t="str">
        <f t="shared" si="49"/>
        <v>0</v>
      </c>
      <c r="W42" s="4" t="str">
        <f t="shared" si="49"/>
        <v>1</v>
      </c>
      <c r="X42" s="4" t="str">
        <f t="shared" si="49"/>
        <v>0</v>
      </c>
      <c r="Y42" s="4" t="str">
        <f>Y11</f>
        <v>0</v>
      </c>
      <c r="AD42" s="3" t="s">
        <v>73</v>
      </c>
      <c r="AE42" s="4">
        <f>C11</f>
        <v>-15116</v>
      </c>
      <c r="AG42" s="12"/>
      <c r="AH42" s="12"/>
      <c r="AI42" s="12"/>
      <c r="AJ42" s="12"/>
    </row>
    <row r="43" spans="5:36" x14ac:dyDescent="0.2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2"/>
      <c r="AH43" s="12"/>
      <c r="AI43" s="12"/>
      <c r="AJ43" s="12"/>
    </row>
    <row r="44" spans="5:36" ht="18" x14ac:dyDescent="0.25">
      <c r="G44">
        <f t="shared" ref="G44:H44" si="50">MOD(G41+G42 + IF(H41+H42&gt;H44,1,0),2)</f>
        <v>1</v>
      </c>
      <c r="H44">
        <f t="shared" si="50"/>
        <v>0</v>
      </c>
      <c r="I44">
        <f>MOD(I41+I42 + IF(J41+J42&gt;J44,1,0),2)</f>
        <v>1</v>
      </c>
      <c r="J44">
        <f>MOD(J41+J42 + IF(L41+L42&gt;L44,1,0),2)</f>
        <v>1</v>
      </c>
      <c r="K44" t="s">
        <v>41</v>
      </c>
      <c r="L44">
        <f t="shared" ref="L44:M44" si="51">MOD(L41+L42 + IF(M41+M42&gt;M44,1,0),2)</f>
        <v>0</v>
      </c>
      <c r="M44">
        <f t="shared" si="51"/>
        <v>0</v>
      </c>
      <c r="N44">
        <f>MOD(N41+N42 + IF(O41+O42&gt;O44,1,0),2)</f>
        <v>0</v>
      </c>
      <c r="O44">
        <f>MOD(O41+O42 + IF(Q41+Q42&gt;Q44,1,0),2)</f>
        <v>1</v>
      </c>
      <c r="P44" t="s">
        <v>41</v>
      </c>
      <c r="Q44">
        <f t="shared" ref="Q44:R44" si="52">MOD(Q41+Q42 + IF(R41+R42&gt;R44,1,0),2)</f>
        <v>0</v>
      </c>
      <c r="R44">
        <f t="shared" si="52"/>
        <v>1</v>
      </c>
      <c r="S44">
        <f>MOD(S41+S42 + IF(T41+T42&gt;T44,1,0),2)</f>
        <v>1</v>
      </c>
      <c r="T44">
        <f>MOD(T41+T42 + IF(V41+V42&gt;V44,1,0),2)</f>
        <v>1</v>
      </c>
      <c r="U44" t="s">
        <v>41</v>
      </c>
      <c r="V44">
        <f t="shared" ref="V44:W44" si="53">MOD(V41+V42 + IF(W41+W42&gt;W44,1,0),2)</f>
        <v>1</v>
      </c>
      <c r="W44">
        <f t="shared" si="53"/>
        <v>1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-20098</v>
      </c>
      <c r="AB44" s="8" t="s">
        <v>51</v>
      </c>
      <c r="AE44">
        <f>AE42+AE41</f>
        <v>-20098</v>
      </c>
      <c r="AG44" s="12"/>
      <c r="AH44" s="12"/>
      <c r="AI44" s="12"/>
      <c r="AJ44" s="12"/>
    </row>
    <row r="46" spans="5:36" x14ac:dyDescent="0.2">
      <c r="G46" s="13" t="s">
        <v>54</v>
      </c>
      <c r="H46" s="13"/>
      <c r="I46">
        <f>IF(G41+G42&gt;G44,1,0)</f>
        <v>1</v>
      </c>
      <c r="J46" s="13" t="s">
        <v>55</v>
      </c>
      <c r="K46" s="13"/>
      <c r="L46">
        <f>ABS(MOD(COUNTIF(Q44:Y44, "1"),2) - 1)</f>
        <v>1</v>
      </c>
      <c r="M46" s="13" t="s">
        <v>56</v>
      </c>
      <c r="N46" s="13"/>
      <c r="O46">
        <f>IF(OR(V41+V42&gt;V44,),1,0)</f>
        <v>0</v>
      </c>
      <c r="P46" s="13" t="s">
        <v>57</v>
      </c>
      <c r="Q46" s="13"/>
      <c r="R46">
        <f>IF(AA44=0,1,0)</f>
        <v>0</v>
      </c>
      <c r="S46" s="13" t="s">
        <v>58</v>
      </c>
      <c r="T46" s="13"/>
      <c r="U46">
        <f>G44</f>
        <v>1</v>
      </c>
      <c r="V46" s="13" t="s">
        <v>59</v>
      </c>
      <c r="W46" s="13"/>
      <c r="X46">
        <f>IF(AA44&lt;&gt;AE44,1,0)</f>
        <v>0</v>
      </c>
    </row>
    <row r="49" spans="5:36" ht="18" x14ac:dyDescent="0.25">
      <c r="F49" t="s">
        <v>74</v>
      </c>
      <c r="G49" s="4" t="str">
        <f t="shared" ref="G49:X50" si="54">G11</f>
        <v>1</v>
      </c>
      <c r="H49" s="4" t="str">
        <f t="shared" si="54"/>
        <v>1</v>
      </c>
      <c r="I49" s="4" t="str">
        <f t="shared" si="54"/>
        <v>0</v>
      </c>
      <c r="J49" s="4" t="str">
        <f t="shared" si="54"/>
        <v>0</v>
      </c>
      <c r="K49" s="4" t="str">
        <f t="shared" si="54"/>
        <v>.</v>
      </c>
      <c r="L49" s="4" t="str">
        <f t="shared" si="54"/>
        <v>0</v>
      </c>
      <c r="M49" s="4" t="str">
        <f t="shared" si="54"/>
        <v>1</v>
      </c>
      <c r="N49" s="4" t="str">
        <f t="shared" si="54"/>
        <v>0</v>
      </c>
      <c r="O49" s="4" t="str">
        <f t="shared" si="54"/>
        <v>0</v>
      </c>
      <c r="P49" s="4" t="str">
        <f t="shared" si="54"/>
        <v>.</v>
      </c>
      <c r="Q49" s="4" t="str">
        <f t="shared" si="54"/>
        <v>1</v>
      </c>
      <c r="R49" s="4" t="str">
        <f t="shared" si="54"/>
        <v>1</v>
      </c>
      <c r="S49" s="4" t="str">
        <f t="shared" si="54"/>
        <v>1</v>
      </c>
      <c r="T49" s="4" t="str">
        <f t="shared" si="54"/>
        <v>1</v>
      </c>
      <c r="U49" s="4" t="str">
        <f t="shared" si="54"/>
        <v>.</v>
      </c>
      <c r="V49" s="4" t="str">
        <f t="shared" si="54"/>
        <v>0</v>
      </c>
      <c r="W49" s="4" t="str">
        <f t="shared" si="54"/>
        <v>1</v>
      </c>
      <c r="X49" s="4" t="str">
        <f t="shared" si="54"/>
        <v>0</v>
      </c>
      <c r="Y49" s="4" t="str">
        <f>Y11</f>
        <v>0</v>
      </c>
      <c r="AD49" s="3" t="s">
        <v>76</v>
      </c>
      <c r="AE49" s="4">
        <f>C11</f>
        <v>-15116</v>
      </c>
      <c r="AG49" s="12" t="s">
        <v>84</v>
      </c>
      <c r="AH49" s="12"/>
      <c r="AI49" s="12"/>
      <c r="AJ49" s="12"/>
    </row>
    <row r="50" spans="5:36" ht="18" x14ac:dyDescent="0.25">
      <c r="E50" t="s">
        <v>42</v>
      </c>
      <c r="F50" s="7" t="s">
        <v>75</v>
      </c>
      <c r="G50" s="4" t="str">
        <f t="shared" si="54"/>
        <v>1</v>
      </c>
      <c r="H50" s="4" t="str">
        <f t="shared" si="54"/>
        <v>0</v>
      </c>
      <c r="I50" s="4" t="str">
        <f t="shared" si="54"/>
        <v>1</v>
      </c>
      <c r="J50" s="4" t="str">
        <f t="shared" si="54"/>
        <v>1</v>
      </c>
      <c r="K50" s="4" t="str">
        <f t="shared" si="54"/>
        <v>.</v>
      </c>
      <c r="L50" s="4" t="str">
        <f t="shared" si="54"/>
        <v>0</v>
      </c>
      <c r="M50" s="4" t="str">
        <f t="shared" si="54"/>
        <v>0</v>
      </c>
      <c r="N50" s="4" t="str">
        <f t="shared" si="54"/>
        <v>0</v>
      </c>
      <c r="O50" s="4" t="str">
        <f t="shared" si="54"/>
        <v>1</v>
      </c>
      <c r="P50" s="4" t="str">
        <f t="shared" si="54"/>
        <v>.</v>
      </c>
      <c r="Q50" s="4" t="str">
        <f t="shared" si="54"/>
        <v>0</v>
      </c>
      <c r="R50" s="4" t="str">
        <f t="shared" si="54"/>
        <v>1</v>
      </c>
      <c r="S50" s="4" t="str">
        <f t="shared" si="54"/>
        <v>1</v>
      </c>
      <c r="T50" s="4" t="str">
        <f t="shared" si="54"/>
        <v>1</v>
      </c>
      <c r="U50" s="4" t="str">
        <f t="shared" si="54"/>
        <v>.</v>
      </c>
      <c r="V50" s="4" t="str">
        <f t="shared" si="54"/>
        <v>1</v>
      </c>
      <c r="W50" s="4" t="str">
        <f t="shared" si="54"/>
        <v>1</v>
      </c>
      <c r="X50" s="4" t="str">
        <f t="shared" si="54"/>
        <v>1</v>
      </c>
      <c r="Y50" s="4" t="str">
        <f>Y12</f>
        <v>0</v>
      </c>
      <c r="AD50" s="3" t="s">
        <v>77</v>
      </c>
      <c r="AE50" s="4">
        <f>C12</f>
        <v>-20098</v>
      </c>
      <c r="AG50" s="12"/>
      <c r="AH50" s="12"/>
      <c r="AI50" s="12"/>
      <c r="AJ50" s="12"/>
    </row>
    <row r="51" spans="5:36" x14ac:dyDescent="0.2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2"/>
      <c r="AH51" s="12"/>
      <c r="AI51" s="12"/>
      <c r="AJ51" s="12"/>
    </row>
    <row r="52" spans="5:36" ht="18" x14ac:dyDescent="0.25">
      <c r="G52">
        <f t="shared" ref="G52:H52" si="55">MOD(G49+G50 + IF(H49+H50&gt;H52,1,0),2)</f>
        <v>0</v>
      </c>
      <c r="H52">
        <f t="shared" si="55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6">MOD(L49+L50 + IF(M49+M50&gt;M52,1,0),2)</f>
        <v>0</v>
      </c>
      <c r="M52">
        <f t="shared" si="56"/>
        <v>1</v>
      </c>
      <c r="N52">
        <f>MOD(N49+N50 + IF(O49+O50&gt;O52,1,0),2)</f>
        <v>1</v>
      </c>
      <c r="O52">
        <f>MOD(O49+O50 + IF(Q49+Q50&gt;Q52,1,0),2)</f>
        <v>0</v>
      </c>
      <c r="P52" t="s">
        <v>41</v>
      </c>
      <c r="Q52">
        <f t="shared" ref="Q52:R52" si="57">MOD(Q49+Q50 + IF(R49+R50&gt;R52,1,0),2)</f>
        <v>0</v>
      </c>
      <c r="R52">
        <f t="shared" si="57"/>
        <v>1</v>
      </c>
      <c r="S52">
        <f>MOD(S49+S50 + IF(T49+T50&gt;T52,1,0),2)</f>
        <v>1</v>
      </c>
      <c r="T52">
        <f>MOD(T49+T50 + IF(V49+V50&gt;V52,1,0),2)</f>
        <v>1</v>
      </c>
      <c r="U52" t="s">
        <v>41</v>
      </c>
      <c r="V52">
        <f t="shared" ref="V52:W52" si="58">MOD(V49+V50 + IF(W49+W50&gt;W52,1,0),2)</f>
        <v>0</v>
      </c>
      <c r="W52">
        <f t="shared" si="58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30322</v>
      </c>
      <c r="AB52" s="8" t="s">
        <v>51</v>
      </c>
      <c r="AE52">
        <f>AE50+AE49</f>
        <v>-35214</v>
      </c>
      <c r="AG52" s="12"/>
      <c r="AH52" s="12"/>
      <c r="AI52" s="12"/>
      <c r="AJ52" s="12"/>
    </row>
    <row r="54" spans="5:36" x14ac:dyDescent="0.2">
      <c r="G54" s="13" t="s">
        <v>54</v>
      </c>
      <c r="H54" s="13"/>
      <c r="I54">
        <f>IF(G49+G50&gt;G52,1,0)</f>
        <v>1</v>
      </c>
      <c r="J54" s="13" t="s">
        <v>55</v>
      </c>
      <c r="K54" s="13"/>
      <c r="L54">
        <f>ABS(MOD(COUNTIF(Q52:Y52, "1"),2) - 1)</f>
        <v>1</v>
      </c>
      <c r="M54" s="13" t="s">
        <v>56</v>
      </c>
      <c r="N54" s="13"/>
      <c r="O54">
        <f>IF(OR(V49+V50&gt;V52, ),1,0)</f>
        <v>1</v>
      </c>
      <c r="P54" s="13" t="s">
        <v>57</v>
      </c>
      <c r="Q54" s="13"/>
      <c r="R54">
        <f>IF(AA52=0,1,0)</f>
        <v>0</v>
      </c>
      <c r="S54" s="13" t="s">
        <v>58</v>
      </c>
      <c r="T54" s="13"/>
      <c r="U54">
        <f>G52</f>
        <v>0</v>
      </c>
      <c r="V54" s="13" t="s">
        <v>59</v>
      </c>
      <c r="W54" s="13"/>
      <c r="X54">
        <f>IF(AA52&lt;&gt;AE52,1,0)</f>
        <v>1</v>
      </c>
    </row>
    <row r="57" spans="5:36" ht="18" x14ac:dyDescent="0.25">
      <c r="F57" t="s">
        <v>45</v>
      </c>
      <c r="G57" s="4">
        <f t="shared" ref="G57:X57" si="59">G4</f>
        <v>0</v>
      </c>
      <c r="H57" s="4">
        <f t="shared" si="59"/>
        <v>0</v>
      </c>
      <c r="I57" s="4">
        <f t="shared" si="59"/>
        <v>0</v>
      </c>
      <c r="J57" s="4" t="str">
        <f t="shared" si="59"/>
        <v>1</v>
      </c>
      <c r="K57" s="4" t="str">
        <f t="shared" si="59"/>
        <v>.</v>
      </c>
      <c r="L57" s="4" t="str">
        <f t="shared" si="59"/>
        <v>0</v>
      </c>
      <c r="M57" s="4" t="str">
        <f t="shared" si="59"/>
        <v>0</v>
      </c>
      <c r="N57" s="4" t="str">
        <f t="shared" si="59"/>
        <v>1</v>
      </c>
      <c r="O57" s="4" t="str">
        <f t="shared" si="59"/>
        <v>1</v>
      </c>
      <c r="P57" s="4" t="str">
        <f t="shared" si="59"/>
        <v>.</v>
      </c>
      <c r="Q57" s="4" t="str">
        <f t="shared" si="59"/>
        <v>0</v>
      </c>
      <c r="R57" s="4" t="str">
        <f t="shared" si="59"/>
        <v>1</v>
      </c>
      <c r="S57" s="4" t="str">
        <f t="shared" si="59"/>
        <v>1</v>
      </c>
      <c r="T57" s="4" t="str">
        <f t="shared" si="59"/>
        <v>1</v>
      </c>
      <c r="U57" s="4" t="str">
        <f t="shared" si="59"/>
        <v>.</v>
      </c>
      <c r="V57" s="4" t="str">
        <f t="shared" si="59"/>
        <v>0</v>
      </c>
      <c r="W57" s="4" t="str">
        <f t="shared" si="59"/>
        <v>1</v>
      </c>
      <c r="X57" s="4" t="str">
        <f t="shared" si="59"/>
        <v>1</v>
      </c>
      <c r="Y57" s="4" t="str">
        <f>Y4</f>
        <v>0</v>
      </c>
      <c r="AD57" s="3" t="s">
        <v>47</v>
      </c>
      <c r="AE57" s="4">
        <f>C4</f>
        <v>4982</v>
      </c>
      <c r="AG57" s="12" t="s">
        <v>82</v>
      </c>
      <c r="AH57" s="12"/>
      <c r="AI57" s="12"/>
      <c r="AJ57" s="12"/>
    </row>
    <row r="58" spans="5:36" ht="18" x14ac:dyDescent="0.25">
      <c r="E58" t="s">
        <v>42</v>
      </c>
      <c r="F58" s="7" t="s">
        <v>71</v>
      </c>
      <c r="G58" s="4" t="str">
        <f t="shared" ref="G58:X58" si="60">G11</f>
        <v>1</v>
      </c>
      <c r="H58" s="4" t="str">
        <f t="shared" si="60"/>
        <v>1</v>
      </c>
      <c r="I58" s="4" t="str">
        <f t="shared" si="60"/>
        <v>0</v>
      </c>
      <c r="J58" s="4" t="str">
        <f t="shared" si="60"/>
        <v>0</v>
      </c>
      <c r="K58" s="4" t="str">
        <f t="shared" si="60"/>
        <v>.</v>
      </c>
      <c r="L58" s="4" t="str">
        <f t="shared" si="60"/>
        <v>0</v>
      </c>
      <c r="M58" s="4" t="str">
        <f t="shared" si="60"/>
        <v>1</v>
      </c>
      <c r="N58" s="4" t="str">
        <f t="shared" si="60"/>
        <v>0</v>
      </c>
      <c r="O58" s="4" t="str">
        <f t="shared" si="60"/>
        <v>0</v>
      </c>
      <c r="P58" s="4" t="str">
        <f t="shared" si="60"/>
        <v>.</v>
      </c>
      <c r="Q58" s="4" t="str">
        <f t="shared" si="60"/>
        <v>1</v>
      </c>
      <c r="R58" s="4" t="str">
        <f t="shared" si="60"/>
        <v>1</v>
      </c>
      <c r="S58" s="4" t="str">
        <f t="shared" si="60"/>
        <v>1</v>
      </c>
      <c r="T58" s="4" t="str">
        <f t="shared" si="60"/>
        <v>1</v>
      </c>
      <c r="U58" s="4" t="str">
        <f t="shared" si="60"/>
        <v>.</v>
      </c>
      <c r="V58" s="4" t="str">
        <f t="shared" si="60"/>
        <v>0</v>
      </c>
      <c r="W58" s="4" t="str">
        <f t="shared" si="60"/>
        <v>1</v>
      </c>
      <c r="X58" s="4" t="str">
        <f t="shared" si="60"/>
        <v>0</v>
      </c>
      <c r="Y58" s="4" t="str">
        <f>Y11</f>
        <v>0</v>
      </c>
      <c r="AD58" s="3" t="s">
        <v>73</v>
      </c>
      <c r="AE58" s="4">
        <f>C11</f>
        <v>-15116</v>
      </c>
      <c r="AG58" s="12"/>
      <c r="AH58" s="12"/>
      <c r="AI58" s="12"/>
      <c r="AJ58" s="12"/>
    </row>
    <row r="59" spans="5:36" x14ac:dyDescent="0.2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2"/>
      <c r="AH59" s="12"/>
      <c r="AI59" s="12"/>
      <c r="AJ59" s="12"/>
    </row>
    <row r="60" spans="5:36" ht="18" x14ac:dyDescent="0.25">
      <c r="G60">
        <f t="shared" ref="G60:H60" si="61">MOD(G57+G58 + IF(H57+H58&gt;H60,1,0),2)</f>
        <v>1</v>
      </c>
      <c r="H60">
        <f t="shared" si="61"/>
        <v>1</v>
      </c>
      <c r="I60">
        <f>MOD(I57+I58 + IF(J57+J58&gt;J60,1,0),2)</f>
        <v>0</v>
      </c>
      <c r="J60">
        <f>MOD(J57+J58 + IF(L57+L58&gt;L60,1,0),2)</f>
        <v>1</v>
      </c>
      <c r="K60" t="s">
        <v>41</v>
      </c>
      <c r="L60">
        <f t="shared" ref="L60:M60" si="62">MOD(L57+L58 + IF(M57+M58&gt;M60,1,0),2)</f>
        <v>1</v>
      </c>
      <c r="M60">
        <f t="shared" si="62"/>
        <v>0</v>
      </c>
      <c r="N60">
        <f>MOD(N57+N58 + IF(O57+O58&gt;O60,1,0),2)</f>
        <v>0</v>
      </c>
      <c r="O60">
        <f>MOD(O57+O58 + IF(Q57+Q58&gt;Q60,1,0),2)</f>
        <v>0</v>
      </c>
      <c r="P60" t="s">
        <v>41</v>
      </c>
      <c r="Q60">
        <f t="shared" ref="Q60:R60" si="63">MOD(Q57+Q58 + IF(R57+R58&gt;R60,1,0),2)</f>
        <v>0</v>
      </c>
      <c r="R60">
        <f t="shared" si="63"/>
        <v>1</v>
      </c>
      <c r="S60">
        <f>MOD(S57+S58 + IF(T57+T58&gt;T60,1,0),2)</f>
        <v>1</v>
      </c>
      <c r="T60">
        <f>MOD(T57+T58 + IF(V57+V58&gt;V60,1,0),2)</f>
        <v>0</v>
      </c>
      <c r="U60" t="s">
        <v>41</v>
      </c>
      <c r="V60">
        <f t="shared" ref="V60:W60" si="64">MOD(V57+V58 + IF(W57+W58&gt;W60,1,0),2)</f>
        <v>1</v>
      </c>
      <c r="W60">
        <f t="shared" si="64"/>
        <v>0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-10134</v>
      </c>
      <c r="AB60" s="8" t="s">
        <v>51</v>
      </c>
      <c r="AE60">
        <f>AE58+AE57</f>
        <v>-10134</v>
      </c>
      <c r="AG60" s="12"/>
      <c r="AH60" s="12"/>
      <c r="AI60" s="12"/>
      <c r="AJ60" s="12"/>
    </row>
    <row r="62" spans="5:36" x14ac:dyDescent="0.2">
      <c r="G62" s="13" t="s">
        <v>54</v>
      </c>
      <c r="H62" s="13"/>
      <c r="I62">
        <f>IF(G57+G58&gt;G60,1,0)</f>
        <v>0</v>
      </c>
      <c r="J62" s="13" t="s">
        <v>55</v>
      </c>
      <c r="K62" s="13"/>
      <c r="L62">
        <f>ABS(MOD(COUNTIF(Q60:Y60, "1"),2) - 1)</f>
        <v>1</v>
      </c>
      <c r="M62" s="13" t="s">
        <v>56</v>
      </c>
      <c r="N62" s="13"/>
      <c r="O62">
        <f>IF(OR(V57+V58&gt;V60,),1,0)</f>
        <v>0</v>
      </c>
      <c r="P62" s="13" t="s">
        <v>57</v>
      </c>
      <c r="Q62" s="13"/>
      <c r="R62">
        <f>IF(AA60=0,1,0)</f>
        <v>0</v>
      </c>
      <c r="S62" s="13" t="s">
        <v>58</v>
      </c>
      <c r="T62" s="13"/>
      <c r="U62">
        <f>G60</f>
        <v>1</v>
      </c>
      <c r="V62" s="13" t="s">
        <v>59</v>
      </c>
      <c r="W62" s="13"/>
      <c r="X62">
        <f>IF(AA60&lt;&gt;AE60,1,0)</f>
        <v>0</v>
      </c>
    </row>
    <row r="65" spans="5:36" ht="18" customHeight="1" x14ac:dyDescent="0.25">
      <c r="F65" t="s">
        <v>78</v>
      </c>
      <c r="G65" s="4" t="str">
        <f t="shared" ref="G65:X65" si="65">G14</f>
        <v>1</v>
      </c>
      <c r="H65" s="4" t="str">
        <f t="shared" si="65"/>
        <v>1</v>
      </c>
      <c r="I65" s="4" t="str">
        <f t="shared" si="65"/>
        <v>0</v>
      </c>
      <c r="J65" s="4" t="str">
        <f t="shared" si="65"/>
        <v>1</v>
      </c>
      <c r="K65" s="4" t="str">
        <f t="shared" si="65"/>
        <v>.</v>
      </c>
      <c r="L65" s="4" t="str">
        <f t="shared" si="65"/>
        <v>1</v>
      </c>
      <c r="M65" s="4" t="str">
        <f t="shared" si="65"/>
        <v>0</v>
      </c>
      <c r="N65" s="4" t="str">
        <f t="shared" si="65"/>
        <v>0</v>
      </c>
      <c r="O65" s="4" t="str">
        <f t="shared" si="65"/>
        <v>0</v>
      </c>
      <c r="P65" s="4" t="str">
        <f t="shared" si="65"/>
        <v>.</v>
      </c>
      <c r="Q65" s="4" t="str">
        <f t="shared" si="65"/>
        <v>0</v>
      </c>
      <c r="R65" s="4" t="str">
        <f t="shared" si="65"/>
        <v>1</v>
      </c>
      <c r="S65" s="4" t="str">
        <f t="shared" si="65"/>
        <v>1</v>
      </c>
      <c r="T65" s="4" t="str">
        <f t="shared" si="65"/>
        <v>0</v>
      </c>
      <c r="U65" s="4" t="str">
        <f t="shared" si="65"/>
        <v>.</v>
      </c>
      <c r="V65" s="4" t="str">
        <f t="shared" si="65"/>
        <v>1</v>
      </c>
      <c r="W65" s="4" t="str">
        <f t="shared" si="65"/>
        <v>0</v>
      </c>
      <c r="X65" s="4" t="str">
        <f t="shared" si="65"/>
        <v>1</v>
      </c>
      <c r="Y65" s="4" t="str">
        <f>Y14</f>
        <v>0</v>
      </c>
      <c r="AD65" s="3" t="s">
        <v>79</v>
      </c>
      <c r="AE65" s="4">
        <f>C14</f>
        <v>-10134</v>
      </c>
      <c r="AG65" s="12" t="s">
        <v>82</v>
      </c>
      <c r="AH65" s="12"/>
      <c r="AI65" s="12"/>
      <c r="AJ65" s="12"/>
    </row>
    <row r="66" spans="5:36" ht="18" x14ac:dyDescent="0.25">
      <c r="E66" t="s">
        <v>42</v>
      </c>
      <c r="F66" s="7" t="s">
        <v>65</v>
      </c>
      <c r="G66" s="4">
        <f t="shared" ref="G66:X66" si="66">G6</f>
        <v>0</v>
      </c>
      <c r="H66" s="4" t="str">
        <f t="shared" si="66"/>
        <v>1</v>
      </c>
      <c r="I66" s="4" t="str">
        <f t="shared" si="66"/>
        <v>0</v>
      </c>
      <c r="J66" s="4" t="str">
        <f t="shared" si="66"/>
        <v>0</v>
      </c>
      <c r="K66" s="4" t="str">
        <f t="shared" si="66"/>
        <v>.</v>
      </c>
      <c r="L66" s="4" t="str">
        <f t="shared" si="66"/>
        <v>1</v>
      </c>
      <c r="M66" s="4" t="str">
        <f t="shared" si="66"/>
        <v>1</v>
      </c>
      <c r="N66" s="4" t="str">
        <f t="shared" si="66"/>
        <v>1</v>
      </c>
      <c r="O66" s="4" t="str">
        <f t="shared" si="66"/>
        <v>0</v>
      </c>
      <c r="P66" s="4" t="str">
        <f t="shared" si="66"/>
        <v>.</v>
      </c>
      <c r="Q66" s="4" t="str">
        <f t="shared" si="66"/>
        <v>1</v>
      </c>
      <c r="R66" s="4" t="str">
        <f t="shared" si="66"/>
        <v>0</v>
      </c>
      <c r="S66" s="4" t="str">
        <f t="shared" si="66"/>
        <v>0</v>
      </c>
      <c r="T66" s="4" t="str">
        <f t="shared" si="66"/>
        <v>0</v>
      </c>
      <c r="U66" s="4" t="str">
        <f t="shared" si="66"/>
        <v>.</v>
      </c>
      <c r="V66" s="4" t="str">
        <f t="shared" si="66"/>
        <v>0</v>
      </c>
      <c r="W66" s="4" t="str">
        <f t="shared" si="66"/>
        <v>0</v>
      </c>
      <c r="X66" s="4" t="str">
        <f t="shared" si="66"/>
        <v>1</v>
      </c>
      <c r="Y66" s="4" t="str">
        <f>Y6</f>
        <v>0</v>
      </c>
      <c r="AD66" s="3" t="s">
        <v>67</v>
      </c>
      <c r="AE66" s="4">
        <f>C6</f>
        <v>20098</v>
      </c>
      <c r="AG66" s="12"/>
      <c r="AH66" s="12"/>
      <c r="AI66" s="12"/>
      <c r="AJ66" s="12"/>
    </row>
    <row r="67" spans="5:36" x14ac:dyDescent="0.2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2"/>
      <c r="AH67" s="12"/>
      <c r="AI67" s="12"/>
      <c r="AJ67" s="12"/>
    </row>
    <row r="68" spans="5:36" ht="18" x14ac:dyDescent="0.25">
      <c r="G68">
        <f t="shared" ref="G68:H68" si="67">MOD(G65+G66 + IF(H65+H66&gt;H68,1,0),2)</f>
        <v>0</v>
      </c>
      <c r="H68">
        <f t="shared" si="67"/>
        <v>0</v>
      </c>
      <c r="I68">
        <f>MOD(I65+I66 + IF(J65+J66&gt;J68,1,0),2)</f>
        <v>1</v>
      </c>
      <c r="J68">
        <f>MOD(J65+J66 + IF(L65+L66&gt;L68,1,0),2)</f>
        <v>0</v>
      </c>
      <c r="K68" t="s">
        <v>41</v>
      </c>
      <c r="L68">
        <f t="shared" ref="L68:M68" si="68">MOD(L65+L66 + IF(M65+M66&gt;M68,1,0),2)</f>
        <v>0</v>
      </c>
      <c r="M68">
        <f t="shared" si="68"/>
        <v>1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69">MOD(Q65+Q66 + IF(R65+R66&gt;R68,1,0),2)</f>
        <v>1</v>
      </c>
      <c r="R68">
        <f t="shared" si="69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0">MOD(V65+V66 + IF(W65+W66&gt;W68,1,0),2)</f>
        <v>1</v>
      </c>
      <c r="W68">
        <f t="shared" si="70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9964</v>
      </c>
      <c r="AB68" s="8" t="s">
        <v>51</v>
      </c>
      <c r="AE68">
        <f>AE66+AE65</f>
        <v>9964</v>
      </c>
      <c r="AG68" s="12"/>
      <c r="AH68" s="12"/>
      <c r="AI68" s="12"/>
      <c r="AJ68" s="12"/>
    </row>
    <row r="70" spans="5:36" x14ac:dyDescent="0.2">
      <c r="G70" s="13" t="s">
        <v>54</v>
      </c>
      <c r="H70" s="13"/>
      <c r="I70">
        <f>IF(G65+G66&gt;G68,1,0)</f>
        <v>1</v>
      </c>
      <c r="J70" s="13" t="s">
        <v>55</v>
      </c>
      <c r="K70" s="13"/>
      <c r="L70">
        <f>ABS(MOD(COUNTIF(Q68:Y68, "1"),2) - 1)</f>
        <v>0</v>
      </c>
      <c r="M70" s="13" t="s">
        <v>56</v>
      </c>
      <c r="N70" s="13"/>
      <c r="O70">
        <f>IF(OR(V65+V66&gt;V68,),1,0)</f>
        <v>0</v>
      </c>
      <c r="P70" s="13" t="s">
        <v>57</v>
      </c>
      <c r="Q70" s="13"/>
      <c r="R70">
        <f>IF(AA68=0,1,0)</f>
        <v>0</v>
      </c>
      <c r="S70" s="13" t="s">
        <v>58</v>
      </c>
      <c r="T70" s="13"/>
      <c r="U70">
        <f>G68</f>
        <v>0</v>
      </c>
      <c r="V70" s="13" t="s">
        <v>59</v>
      </c>
      <c r="W70" s="13"/>
      <c r="X70">
        <f>IF(AA68&lt;&gt;AE68,1,0)</f>
        <v>0</v>
      </c>
    </row>
  </sheetData>
  <mergeCells count="49">
    <mergeCell ref="AG17:AJ20"/>
    <mergeCell ref="G22:H22"/>
    <mergeCell ref="J22:K22"/>
    <mergeCell ref="M22:N22"/>
    <mergeCell ref="P22:Q22"/>
    <mergeCell ref="S22:T22"/>
    <mergeCell ref="V22:W22"/>
    <mergeCell ref="AG25:AJ28"/>
    <mergeCell ref="G30:H30"/>
    <mergeCell ref="J30:K30"/>
    <mergeCell ref="M30:N30"/>
    <mergeCell ref="P30:Q30"/>
    <mergeCell ref="S30:T30"/>
    <mergeCell ref="V30:W30"/>
    <mergeCell ref="AG33:AJ36"/>
    <mergeCell ref="G38:H38"/>
    <mergeCell ref="J38:K38"/>
    <mergeCell ref="M38:N38"/>
    <mergeCell ref="P38:Q38"/>
    <mergeCell ref="S38:T38"/>
    <mergeCell ref="V38:W38"/>
    <mergeCell ref="AG41:AJ44"/>
    <mergeCell ref="G46:H46"/>
    <mergeCell ref="J46:K46"/>
    <mergeCell ref="M46:N46"/>
    <mergeCell ref="P46:Q46"/>
    <mergeCell ref="S46:T46"/>
    <mergeCell ref="V46:W46"/>
    <mergeCell ref="AG49:AJ52"/>
    <mergeCell ref="G54:H54"/>
    <mergeCell ref="J54:K54"/>
    <mergeCell ref="M54:N54"/>
    <mergeCell ref="P54:Q54"/>
    <mergeCell ref="S54:T54"/>
    <mergeCell ref="V54:W54"/>
    <mergeCell ref="AG57:AJ60"/>
    <mergeCell ref="G62:H62"/>
    <mergeCell ref="J62:K62"/>
    <mergeCell ref="M62:N62"/>
    <mergeCell ref="P62:Q62"/>
    <mergeCell ref="S62:T62"/>
    <mergeCell ref="V62:W62"/>
    <mergeCell ref="AG65:AJ68"/>
    <mergeCell ref="G70:H70"/>
    <mergeCell ref="J70:K70"/>
    <mergeCell ref="M70:N70"/>
    <mergeCell ref="P70:Q70"/>
    <mergeCell ref="S70:T70"/>
    <mergeCell ref="V70:W70"/>
  </mergeCells>
  <conditionalFormatting sqref="C4:C15">
    <cfRule type="expression" dxfId="1" priority="1">
      <formula>$C4=MAX(ABS($C$4:$C$14))</formula>
    </cfRule>
  </conditionalFormatting>
  <pageMargins left="0.7" right="0.7" top="0.75" bottom="0.75" header="0.3" footer="0.3"/>
  <pageSetup paperSize="9" orientation="portrait" horizontalDpi="0" verticalDpi="0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BF14-DF2D-284D-96BF-9A07342CBE24}">
  <sheetPr codeName="Sheet4"/>
  <dimension ref="A1:B2"/>
  <sheetViews>
    <sheetView zoomScale="188" workbookViewId="0">
      <selection activeCell="B1" sqref="B1"/>
    </sheetView>
  </sheetViews>
  <sheetFormatPr baseColWidth="10" defaultRowHeight="16" x14ac:dyDescent="0.2"/>
  <sheetData>
    <row r="1" spans="1:2" x14ac:dyDescent="0.2">
      <c r="A1" t="s">
        <v>85</v>
      </c>
      <c r="B1">
        <v>1.1220186163376162</v>
      </c>
    </row>
    <row r="2" spans="1:2" x14ac:dyDescent="0.2">
      <c r="A2" t="s">
        <v>86</v>
      </c>
      <c r="B2">
        <f>B1^20</f>
        <v>10.000028882925141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diagram</vt:lpstr>
      <vt:lpstr>main_copy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Anastasia Beginina</dc:creator>
  <cp:lastModifiedBy>Anastasia Beginina</cp:lastModifiedBy>
  <dcterms:created xsi:type="dcterms:W3CDTF">2021-11-20T19:16:10Z</dcterms:created>
  <dcterms:modified xsi:type="dcterms:W3CDTF">2021-11-24T09:17:59Z</dcterms:modified>
</cp:coreProperties>
</file>